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67E224C-0232-4419-84B4-01DC82A373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Sheet1!$A$1:$O$586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94" i="1" l="1"/>
  <c r="A588" i="1"/>
  <c r="A589" i="1" s="1"/>
  <c r="A590" i="1" s="1"/>
  <c r="A591" i="1" s="1"/>
  <c r="A592" i="1" s="1"/>
  <c r="A593" i="1" s="1"/>
  <c r="K409" i="1"/>
  <c r="K397" i="1"/>
  <c r="M467" i="1" l="1"/>
  <c r="M416" i="1"/>
  <c r="M424" i="1"/>
  <c r="L543" i="1"/>
  <c r="K588" i="1"/>
  <c r="O593" i="1"/>
  <c r="O592" i="1"/>
  <c r="O591" i="1"/>
  <c r="O590" i="1"/>
  <c r="N590" i="1"/>
  <c r="O589" i="1"/>
  <c r="O588" i="1"/>
  <c r="N588" i="1"/>
  <c r="M423" i="1"/>
  <c r="M421" i="1"/>
  <c r="M415" i="1"/>
  <c r="L421" i="1"/>
  <c r="L415" i="1"/>
  <c r="L423" i="1"/>
  <c r="L227" i="1"/>
  <c r="M227" i="1"/>
  <c r="L233" i="1"/>
  <c r="M233" i="1"/>
  <c r="N591" i="1" l="1"/>
  <c r="N593" i="1"/>
  <c r="N589" i="1"/>
  <c r="N592" i="1"/>
  <c r="L232" i="1"/>
  <c r="M232" i="1"/>
  <c r="K379" i="1"/>
  <c r="L555" i="1"/>
  <c r="L554" i="1"/>
  <c r="M559" i="1"/>
  <c r="M558" i="1"/>
  <c r="M557" i="1"/>
  <c r="M556" i="1"/>
  <c r="M555" i="1"/>
  <c r="M554" i="1"/>
  <c r="M574" i="1"/>
  <c r="M571" i="1"/>
  <c r="M573" i="1"/>
  <c r="M575" i="1"/>
  <c r="M566" i="1"/>
  <c r="M563" i="1"/>
  <c r="M567" i="1"/>
  <c r="M565" i="1"/>
  <c r="O594" i="1" l="1"/>
  <c r="N594" i="1"/>
  <c r="L511" i="1"/>
  <c r="K503" i="1"/>
  <c r="L467" i="1"/>
  <c r="K578" i="1"/>
  <c r="L558" i="1"/>
  <c r="L567" i="1" l="1"/>
  <c r="L566" i="1"/>
  <c r="L565" i="1"/>
  <c r="L563" i="1"/>
  <c r="L571" i="1"/>
  <c r="K454" i="1"/>
  <c r="L586" i="1"/>
  <c r="O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A578" i="1"/>
  <c r="A579" i="1" s="1"/>
  <c r="A580" i="1" s="1"/>
  <c r="A581" i="1" s="1"/>
  <c r="A582" i="1" s="1"/>
  <c r="A583" i="1" s="1"/>
  <c r="A586" i="1" l="1"/>
  <c r="A584" i="1"/>
  <c r="A585" i="1" s="1"/>
  <c r="N586" i="1"/>
  <c r="K446" i="1" l="1"/>
  <c r="L236" i="1" l="1"/>
  <c r="M236" i="1"/>
  <c r="L235" i="1" l="1"/>
  <c r="M235" i="1"/>
  <c r="M231" i="1"/>
  <c r="L574" i="1"/>
  <c r="L573" i="1"/>
  <c r="L575" i="1"/>
  <c r="L559" i="1"/>
  <c r="L557" i="1"/>
  <c r="L424" i="1"/>
  <c r="K570" i="1"/>
  <c r="K562" i="1"/>
  <c r="K554" i="1"/>
  <c r="K436" i="1"/>
  <c r="K489" i="1" l="1"/>
  <c r="K367" i="1" l="1"/>
  <c r="L494" i="1"/>
  <c r="K547" i="1" l="1"/>
  <c r="L576" i="1"/>
  <c r="O576" i="1" s="1"/>
  <c r="O575" i="1"/>
  <c r="N575" i="1"/>
  <c r="O574" i="1"/>
  <c r="N574" i="1"/>
  <c r="O573" i="1"/>
  <c r="N573" i="1"/>
  <c r="O572" i="1"/>
  <c r="N572" i="1"/>
  <c r="O571" i="1"/>
  <c r="N571" i="1"/>
  <c r="O570" i="1"/>
  <c r="N570" i="1"/>
  <c r="A570" i="1"/>
  <c r="A571" i="1" s="1"/>
  <c r="A572" i="1" s="1"/>
  <c r="A573" i="1" s="1"/>
  <c r="A574" i="1" s="1"/>
  <c r="A575" i="1" s="1"/>
  <c r="A576" i="1" s="1"/>
  <c r="L568" i="1"/>
  <c r="N568" i="1" s="1"/>
  <c r="O567" i="1"/>
  <c r="N567" i="1"/>
  <c r="O566" i="1"/>
  <c r="N566" i="1"/>
  <c r="O565" i="1"/>
  <c r="N565" i="1"/>
  <c r="O564" i="1"/>
  <c r="N564" i="1"/>
  <c r="O563" i="1"/>
  <c r="N563" i="1"/>
  <c r="O562" i="1"/>
  <c r="N562" i="1"/>
  <c r="A562" i="1"/>
  <c r="A563" i="1" s="1"/>
  <c r="A564" i="1" s="1"/>
  <c r="A565" i="1" s="1"/>
  <c r="A566" i="1" s="1"/>
  <c r="A567" i="1" s="1"/>
  <c r="A568" i="1" s="1"/>
  <c r="O568" i="1" l="1"/>
  <c r="N576" i="1"/>
  <c r="O554" i="1"/>
  <c r="A554" i="1"/>
  <c r="A555" i="1" s="1"/>
  <c r="A556" i="1" s="1"/>
  <c r="A557" i="1" s="1"/>
  <c r="A558" i="1" s="1"/>
  <c r="A559" i="1" s="1"/>
  <c r="N554" i="1"/>
  <c r="N555" i="1"/>
  <c r="O555" i="1"/>
  <c r="N556" i="1"/>
  <c r="O556" i="1"/>
  <c r="N557" i="1"/>
  <c r="O557" i="1"/>
  <c r="N558" i="1"/>
  <c r="O558" i="1"/>
  <c r="N559" i="1"/>
  <c r="O559" i="1"/>
  <c r="L560" i="1"/>
  <c r="N560" i="1" s="1"/>
  <c r="A547" i="1"/>
  <c r="A548" i="1" s="1"/>
  <c r="A549" i="1" s="1"/>
  <c r="A550" i="1" s="1"/>
  <c r="A551" i="1" s="1"/>
  <c r="N547" i="1"/>
  <c r="O547" i="1"/>
  <c r="N548" i="1"/>
  <c r="O548" i="1"/>
  <c r="N549" i="1"/>
  <c r="O549" i="1"/>
  <c r="N550" i="1"/>
  <c r="O550" i="1"/>
  <c r="N551" i="1"/>
  <c r="O551" i="1"/>
  <c r="L552" i="1"/>
  <c r="O552" i="1" s="1"/>
  <c r="K433" i="1"/>
  <c r="K415" i="1"/>
  <c r="L416" i="1"/>
  <c r="N552" i="1" l="1"/>
  <c r="O560" i="1"/>
  <c r="A560" i="1"/>
  <c r="A552" i="1"/>
  <c r="K473" i="1"/>
  <c r="K465" i="1" l="1"/>
  <c r="O508" i="1"/>
  <c r="O510" i="1"/>
  <c r="O509" i="1"/>
  <c r="O507" i="1"/>
  <c r="O506" i="1"/>
  <c r="O505" i="1"/>
  <c r="O504" i="1"/>
  <c r="O503" i="1"/>
  <c r="G511" i="1"/>
  <c r="N510" i="1"/>
  <c r="N509" i="1"/>
  <c r="K531" i="1"/>
  <c r="K537" i="1"/>
  <c r="K532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07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22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37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52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67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82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397" i="1"/>
  <c r="N542" i="1"/>
  <c r="N543" i="1"/>
  <c r="N544" i="1"/>
  <c r="N541" i="1"/>
  <c r="N537" i="1"/>
  <c r="N538" i="1"/>
  <c r="N536" i="1"/>
  <c r="N532" i="1"/>
  <c r="N533" i="1"/>
  <c r="N531" i="1"/>
  <c r="N526" i="1"/>
  <c r="N527" i="1"/>
  <c r="N528" i="1"/>
  <c r="N525" i="1"/>
  <c r="N514" i="1"/>
  <c r="N515" i="1"/>
  <c r="N516" i="1"/>
  <c r="N517" i="1"/>
  <c r="N518" i="1"/>
  <c r="N519" i="1"/>
  <c r="N520" i="1"/>
  <c r="N521" i="1"/>
  <c r="N522" i="1"/>
  <c r="N513" i="1"/>
  <c r="N508" i="1"/>
  <c r="N507" i="1"/>
  <c r="N506" i="1"/>
  <c r="N505" i="1"/>
  <c r="N504" i="1"/>
  <c r="N503" i="1"/>
  <c r="N500" i="1"/>
  <c r="N490" i="1"/>
  <c r="N491" i="1"/>
  <c r="N492" i="1"/>
  <c r="N493" i="1"/>
  <c r="N494" i="1"/>
  <c r="N489" i="1"/>
  <c r="N482" i="1"/>
  <c r="N483" i="1"/>
  <c r="N484" i="1"/>
  <c r="N485" i="1"/>
  <c r="N486" i="1"/>
  <c r="N481" i="1"/>
  <c r="N474" i="1"/>
  <c r="N475" i="1"/>
  <c r="N476" i="1"/>
  <c r="N477" i="1"/>
  <c r="N478" i="1"/>
  <c r="N473" i="1"/>
  <c r="N466" i="1"/>
  <c r="N467" i="1"/>
  <c r="N470" i="1"/>
  <c r="N458" i="1"/>
  <c r="N459" i="1"/>
  <c r="N460" i="1"/>
  <c r="N461" i="1"/>
  <c r="N462" i="1"/>
  <c r="N457" i="1"/>
  <c r="N447" i="1"/>
  <c r="N448" i="1"/>
  <c r="N449" i="1"/>
  <c r="N450" i="1"/>
  <c r="N451" i="1"/>
  <c r="N452" i="1"/>
  <c r="N453" i="1"/>
  <c r="N454" i="1"/>
  <c r="N446" i="1"/>
  <c r="N436" i="1"/>
  <c r="N432" i="1"/>
  <c r="N423" i="1"/>
  <c r="N425" i="1"/>
  <c r="N426" i="1"/>
  <c r="N427" i="1"/>
  <c r="N428" i="1"/>
  <c r="N429" i="1"/>
  <c r="N430" i="1"/>
  <c r="N431" i="1"/>
  <c r="N433" i="1"/>
  <c r="N424" i="1"/>
  <c r="M439" i="1"/>
  <c r="L439" i="1"/>
  <c r="K542" i="1"/>
  <c r="K541" i="1"/>
  <c r="K543" i="1"/>
  <c r="K513" i="1"/>
  <c r="N421" i="1" l="1"/>
  <c r="L465" i="1"/>
  <c r="N465" i="1" s="1"/>
  <c r="M469" i="1" l="1"/>
  <c r="N469" i="1" s="1"/>
  <c r="M468" i="1"/>
  <c r="M422" i="1"/>
  <c r="N422" i="1" s="1"/>
  <c r="M420" i="1"/>
  <c r="M419" i="1"/>
  <c r="M418" i="1"/>
  <c r="M417" i="1"/>
  <c r="L468" i="1"/>
  <c r="N468" i="1" l="1"/>
  <c r="L420" i="1"/>
  <c r="N420" i="1" s="1"/>
  <c r="L419" i="1"/>
  <c r="N419" i="1" s="1"/>
  <c r="K525" i="1" l="1"/>
  <c r="K319" i="1" l="1"/>
  <c r="K394" i="1"/>
  <c r="K352" i="1"/>
  <c r="K544" i="1" l="1"/>
  <c r="L545" i="1"/>
  <c r="G545" i="1"/>
  <c r="O544" i="1"/>
  <c r="O543" i="1"/>
  <c r="O541" i="1"/>
  <c r="A541" i="1"/>
  <c r="A536" i="1"/>
  <c r="A537" i="1" s="1"/>
  <c r="A538" i="1" s="1"/>
  <c r="L417" i="1"/>
  <c r="N417" i="1" s="1"/>
  <c r="N415" i="1"/>
  <c r="N416" i="1"/>
  <c r="L418" i="1"/>
  <c r="N418" i="1" s="1"/>
  <c r="A543" i="1" l="1"/>
  <c r="A544" i="1" s="1"/>
  <c r="A545" i="1" s="1"/>
  <c r="A542" i="1"/>
  <c r="J541" i="1"/>
  <c r="N545" i="1"/>
  <c r="O545" i="1"/>
  <c r="L269" i="1" l="1"/>
  <c r="M270" i="1"/>
  <c r="L270" i="1"/>
  <c r="L264" i="1"/>
  <c r="K264" i="1"/>
  <c r="K226" i="1" l="1"/>
  <c r="M226" i="1"/>
  <c r="K457" i="1"/>
  <c r="L539" i="1"/>
  <c r="G539" i="1"/>
  <c r="O538" i="1"/>
  <c r="O537" i="1"/>
  <c r="O536" i="1"/>
  <c r="A539" i="1"/>
  <c r="L534" i="1"/>
  <c r="J531" i="1" s="1"/>
  <c r="G534" i="1"/>
  <c r="O533" i="1"/>
  <c r="O532" i="1"/>
  <c r="O531" i="1"/>
  <c r="A531" i="1"/>
  <c r="A532" i="1" s="1"/>
  <c r="A533" i="1" s="1"/>
  <c r="A534" i="1" s="1"/>
  <c r="L529" i="1"/>
  <c r="N529" i="1" s="1"/>
  <c r="G529" i="1"/>
  <c r="O528" i="1"/>
  <c r="O527" i="1"/>
  <c r="O526" i="1"/>
  <c r="O525" i="1"/>
  <c r="A525" i="1"/>
  <c r="A526" i="1" s="1"/>
  <c r="A527" i="1" s="1"/>
  <c r="A528" i="1" s="1"/>
  <c r="A529" i="1" s="1"/>
  <c r="G317" i="1"/>
  <c r="G315" i="1"/>
  <c r="G313" i="1"/>
  <c r="G311" i="1"/>
  <c r="G309" i="1"/>
  <c r="G307" i="1"/>
  <c r="A36" i="1"/>
  <c r="A32" i="1"/>
  <c r="A47" i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2" i="1"/>
  <c r="G523" i="1"/>
  <c r="L523" i="1"/>
  <c r="O522" i="1"/>
  <c r="O521" i="1"/>
  <c r="O520" i="1"/>
  <c r="O519" i="1"/>
  <c r="O518" i="1"/>
  <c r="E518" i="1"/>
  <c r="E519" i="1" s="1"/>
  <c r="E520" i="1" s="1"/>
  <c r="E521" i="1" s="1"/>
  <c r="E522" i="1" s="1"/>
  <c r="O517" i="1"/>
  <c r="E517" i="1"/>
  <c r="O516" i="1"/>
  <c r="E516" i="1"/>
  <c r="E515" i="1"/>
  <c r="O514" i="1"/>
  <c r="E514" i="1"/>
  <c r="O513" i="1"/>
  <c r="A513" i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03" i="1"/>
  <c r="A504" i="1" s="1"/>
  <c r="A505" i="1" s="1"/>
  <c r="A506" i="1" s="1"/>
  <c r="A507" i="1" s="1"/>
  <c r="A508" i="1" s="1"/>
  <c r="A500" i="1"/>
  <c r="M240" i="1"/>
  <c r="M241" i="1"/>
  <c r="J503" i="1" l="1"/>
  <c r="O511" i="1"/>
  <c r="J536" i="1"/>
  <c r="N539" i="1"/>
  <c r="N511" i="1"/>
  <c r="J513" i="1"/>
  <c r="N523" i="1"/>
  <c r="A511" i="1"/>
  <c r="A509" i="1"/>
  <c r="A510" i="1" s="1"/>
  <c r="N534" i="1"/>
  <c r="O534" i="1"/>
  <c r="O539" i="1"/>
  <c r="O529" i="1"/>
  <c r="J525" i="1"/>
  <c r="O515" i="1"/>
  <c r="L245" i="1"/>
  <c r="M267" i="1"/>
  <c r="L267" i="1"/>
  <c r="M266" i="1"/>
  <c r="L266" i="1"/>
  <c r="M265" i="1"/>
  <c r="L265" i="1"/>
  <c r="M269" i="1"/>
  <c r="O270" i="1"/>
  <c r="M254" i="1"/>
  <c r="M230" i="1"/>
  <c r="L229" i="1"/>
  <c r="G413" i="1"/>
  <c r="G444" i="1"/>
  <c r="G463" i="1"/>
  <c r="G471" i="1"/>
  <c r="J436" i="1"/>
  <c r="N156" i="1"/>
  <c r="J180" i="1"/>
  <c r="M412" i="1"/>
  <c r="M413" i="1" s="1"/>
  <c r="L412" i="1"/>
  <c r="L413" i="1" s="1"/>
  <c r="J412" i="1" s="1"/>
  <c r="L241" i="1"/>
  <c r="O241" i="1" s="1"/>
  <c r="L240" i="1"/>
  <c r="O240" i="1" s="1"/>
  <c r="M239" i="1"/>
  <c r="L239" i="1"/>
  <c r="O239" i="1" s="1"/>
  <c r="L463" i="1"/>
  <c r="N463" i="1" s="1"/>
  <c r="O462" i="1"/>
  <c r="O461" i="1"/>
  <c r="O460" i="1"/>
  <c r="O459" i="1"/>
  <c r="O458" i="1"/>
  <c r="O457" i="1"/>
  <c r="A457" i="1"/>
  <c r="A458" i="1" s="1"/>
  <c r="A459" i="1" s="1"/>
  <c r="A460" i="1" s="1"/>
  <c r="A461" i="1" s="1"/>
  <c r="A462" i="1" s="1"/>
  <c r="A463" i="1" s="1"/>
  <c r="M247" i="1"/>
  <c r="L247" i="1"/>
  <c r="M244" i="1"/>
  <c r="L244" i="1"/>
  <c r="M278" i="1"/>
  <c r="M277" i="1"/>
  <c r="L278" i="1"/>
  <c r="L277" i="1"/>
  <c r="O277" i="1" s="1"/>
  <c r="K241" i="1"/>
  <c r="K240" i="1"/>
  <c r="K239" i="1"/>
  <c r="O227" i="1"/>
  <c r="J433" i="1"/>
  <c r="M279" i="1"/>
  <c r="M263" i="1"/>
  <c r="L263" i="1"/>
  <c r="M268" i="1"/>
  <c r="L268" i="1"/>
  <c r="M444" i="1"/>
  <c r="O439" i="1"/>
  <c r="M246" i="1"/>
  <c r="L246" i="1"/>
  <c r="M245" i="1"/>
  <c r="M243" i="1"/>
  <c r="L243" i="1"/>
  <c r="M256" i="1"/>
  <c r="L256" i="1"/>
  <c r="M228" i="1"/>
  <c r="L228" i="1"/>
  <c r="O228" i="1" s="1"/>
  <c r="L231" i="1"/>
  <c r="L226" i="1"/>
  <c r="M259" i="1"/>
  <c r="M242" i="1"/>
  <c r="L242" i="1"/>
  <c r="M251" i="1"/>
  <c r="L251" i="1"/>
  <c r="L259" i="1"/>
  <c r="L290" i="1"/>
  <c r="M290" i="1"/>
  <c r="L291" i="1"/>
  <c r="M291" i="1"/>
  <c r="L292" i="1"/>
  <c r="O292" i="1" s="1"/>
  <c r="M292" i="1"/>
  <c r="L293" i="1"/>
  <c r="M293" i="1"/>
  <c r="L294" i="1"/>
  <c r="O294" i="1" s="1"/>
  <c r="M294" i="1"/>
  <c r="L295" i="1"/>
  <c r="M295" i="1"/>
  <c r="L296" i="1"/>
  <c r="O296" i="1" s="1"/>
  <c r="M296" i="1"/>
  <c r="L297" i="1"/>
  <c r="M297" i="1"/>
  <c r="L298" i="1"/>
  <c r="O298" i="1" s="1"/>
  <c r="M298" i="1"/>
  <c r="L299" i="1"/>
  <c r="M299" i="1"/>
  <c r="L300" i="1"/>
  <c r="M300" i="1"/>
  <c r="L301" i="1"/>
  <c r="M301" i="1"/>
  <c r="L302" i="1"/>
  <c r="O302" i="1" s="1"/>
  <c r="M302" i="1"/>
  <c r="M229" i="1"/>
  <c r="M237" i="1" s="1"/>
  <c r="K287" i="1"/>
  <c r="J287" i="1" s="1"/>
  <c r="K273" i="1"/>
  <c r="K244" i="1"/>
  <c r="M260" i="1"/>
  <c r="L260" i="1"/>
  <c r="M258" i="1"/>
  <c r="L258" i="1"/>
  <c r="M257" i="1"/>
  <c r="L257" i="1"/>
  <c r="M253" i="1"/>
  <c r="L253" i="1"/>
  <c r="M71" i="1"/>
  <c r="L71" i="1"/>
  <c r="O71" i="1" s="1"/>
  <c r="M68" i="1"/>
  <c r="L68" i="1"/>
  <c r="M280" i="1"/>
  <c r="L280" i="1"/>
  <c r="L279" i="1"/>
  <c r="O279" i="1" s="1"/>
  <c r="L283" i="1"/>
  <c r="K259" i="1"/>
  <c r="L230" i="1"/>
  <c r="J394" i="1"/>
  <c r="M282" i="1"/>
  <c r="L282" i="1"/>
  <c r="L281" i="1"/>
  <c r="O281" i="1" s="1"/>
  <c r="M55" i="1"/>
  <c r="L55" i="1"/>
  <c r="M56" i="1"/>
  <c r="L56" i="1"/>
  <c r="K334" i="1"/>
  <c r="J334" i="1" s="1"/>
  <c r="K364" i="1"/>
  <c r="J364" i="1" s="1"/>
  <c r="M284" i="1"/>
  <c r="M283" i="1"/>
  <c r="M286" i="1"/>
  <c r="L286" i="1"/>
  <c r="M285" i="1"/>
  <c r="L285" i="1"/>
  <c r="O285" i="1" s="1"/>
  <c r="M234" i="1"/>
  <c r="L234" i="1"/>
  <c r="M255" i="1"/>
  <c r="M252" i="1"/>
  <c r="L254" i="1"/>
  <c r="L255" i="1"/>
  <c r="K382" i="1"/>
  <c r="K322" i="1"/>
  <c r="L70" i="1"/>
  <c r="M70" i="1"/>
  <c r="M75" i="1"/>
  <c r="L77" i="1"/>
  <c r="M77" i="1"/>
  <c r="M81" i="1"/>
  <c r="M79" i="1"/>
  <c r="L79" i="1"/>
  <c r="M501" i="1"/>
  <c r="G501" i="1"/>
  <c r="A501" i="1"/>
  <c r="L252" i="1"/>
  <c r="K263" i="1"/>
  <c r="M281" i="1"/>
  <c r="L497" i="1"/>
  <c r="N497" i="1" s="1"/>
  <c r="N498" i="1" s="1"/>
  <c r="M498" i="1"/>
  <c r="G498" i="1"/>
  <c r="A498" i="1"/>
  <c r="M153" i="1"/>
  <c r="L153" i="1"/>
  <c r="M152" i="1"/>
  <c r="L152" i="1"/>
  <c r="L155" i="1"/>
  <c r="M155" i="1"/>
  <c r="M154" i="1"/>
  <c r="L154" i="1"/>
  <c r="M147" i="1"/>
  <c r="L147" i="1"/>
  <c r="M146" i="1"/>
  <c r="L146" i="1"/>
  <c r="O443" i="1"/>
  <c r="G286" i="1"/>
  <c r="G284" i="1"/>
  <c r="K307" i="1"/>
  <c r="G495" i="1"/>
  <c r="O494" i="1"/>
  <c r="O493" i="1"/>
  <c r="O492" i="1"/>
  <c r="O491" i="1"/>
  <c r="O490" i="1"/>
  <c r="O489" i="1"/>
  <c r="A489" i="1"/>
  <c r="A490" i="1" s="1"/>
  <c r="A491" i="1" s="1"/>
  <c r="A492" i="1" s="1"/>
  <c r="A493" i="1" s="1"/>
  <c r="A494" i="1" s="1"/>
  <c r="A495" i="1" s="1"/>
  <c r="L487" i="1"/>
  <c r="G487" i="1"/>
  <c r="O486" i="1"/>
  <c r="O485" i="1"/>
  <c r="O484" i="1"/>
  <c r="O483" i="1"/>
  <c r="O482" i="1"/>
  <c r="O481" i="1"/>
  <c r="A481" i="1"/>
  <c r="A482" i="1" s="1"/>
  <c r="A483" i="1" s="1"/>
  <c r="A484" i="1" s="1"/>
  <c r="A485" i="1" s="1"/>
  <c r="A486" i="1" s="1"/>
  <c r="A487" i="1" s="1"/>
  <c r="L479" i="1"/>
  <c r="G479" i="1"/>
  <c r="O478" i="1"/>
  <c r="O477" i="1"/>
  <c r="O476" i="1"/>
  <c r="O475" i="1"/>
  <c r="O474" i="1"/>
  <c r="O473" i="1"/>
  <c r="A473" i="1"/>
  <c r="A474" i="1" s="1"/>
  <c r="A475" i="1" s="1"/>
  <c r="A476" i="1" s="1"/>
  <c r="A477" i="1" s="1"/>
  <c r="A478" i="1" s="1"/>
  <c r="A479" i="1" s="1"/>
  <c r="A465" i="1"/>
  <c r="A466" i="1" s="1"/>
  <c r="A467" i="1" s="1"/>
  <c r="A468" i="1" s="1"/>
  <c r="A469" i="1" s="1"/>
  <c r="A470" i="1" s="1"/>
  <c r="A471" i="1" s="1"/>
  <c r="O470" i="1"/>
  <c r="O469" i="1"/>
  <c r="O468" i="1"/>
  <c r="O467" i="1"/>
  <c r="O466" i="1"/>
  <c r="O465" i="1"/>
  <c r="L471" i="1"/>
  <c r="J454" i="1"/>
  <c r="L455" i="1"/>
  <c r="H454" i="1"/>
  <c r="G453" i="1"/>
  <c r="O453" i="1" s="1"/>
  <c r="E453" i="1"/>
  <c r="O452" i="1"/>
  <c r="E452" i="1"/>
  <c r="G451" i="1"/>
  <c r="O451" i="1" s="1"/>
  <c r="E451" i="1"/>
  <c r="O450" i="1"/>
  <c r="E450" i="1"/>
  <c r="E449" i="1"/>
  <c r="G448" i="1"/>
  <c r="G449" i="1" s="1"/>
  <c r="O449" i="1" s="1"/>
  <c r="E448" i="1"/>
  <c r="G447" i="1"/>
  <c r="O447" i="1" s="1"/>
  <c r="O446" i="1"/>
  <c r="A446" i="1"/>
  <c r="A447" i="1" s="1"/>
  <c r="A448" i="1" s="1"/>
  <c r="N443" i="1"/>
  <c r="O442" i="1"/>
  <c r="N442" i="1"/>
  <c r="O441" i="1"/>
  <c r="N441" i="1"/>
  <c r="O440" i="1"/>
  <c r="N440" i="1"/>
  <c r="O438" i="1"/>
  <c r="N438" i="1"/>
  <c r="O437" i="1"/>
  <c r="N437" i="1"/>
  <c r="O436" i="1"/>
  <c r="A436" i="1"/>
  <c r="A437" i="1" s="1"/>
  <c r="A438" i="1" s="1"/>
  <c r="A439" i="1" s="1"/>
  <c r="A440" i="1" s="1"/>
  <c r="A441" i="1" s="1"/>
  <c r="A442" i="1" s="1"/>
  <c r="A443" i="1" s="1"/>
  <c r="A444" i="1" s="1"/>
  <c r="O431" i="1"/>
  <c r="O429" i="1"/>
  <c r="O427" i="1"/>
  <c r="G432" i="1"/>
  <c r="O432" i="1" s="1"/>
  <c r="G430" i="1"/>
  <c r="O430" i="1" s="1"/>
  <c r="G428" i="1"/>
  <c r="O428" i="1" s="1"/>
  <c r="G426" i="1"/>
  <c r="E426" i="1"/>
  <c r="E430" i="1" s="1"/>
  <c r="E432" i="1" s="1"/>
  <c r="E424" i="1"/>
  <c r="E422" i="1"/>
  <c r="E420" i="1"/>
  <c r="E418" i="1"/>
  <c r="A412" i="1"/>
  <c r="A413" i="1" s="1"/>
  <c r="L434" i="1"/>
  <c r="E425" i="1"/>
  <c r="E427" i="1" s="1"/>
  <c r="E429" i="1" s="1"/>
  <c r="E431" i="1" s="1"/>
  <c r="E423" i="1"/>
  <c r="E421" i="1"/>
  <c r="E419" i="1"/>
  <c r="E417" i="1"/>
  <c r="O415" i="1"/>
  <c r="A415" i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G397" i="1"/>
  <c r="G398" i="1" s="1"/>
  <c r="O398" i="1" s="1"/>
  <c r="G382" i="1"/>
  <c r="G390" i="1" s="1"/>
  <c r="G367" i="1"/>
  <c r="O367" i="1" s="1"/>
  <c r="G352" i="1"/>
  <c r="G358" i="1" s="1"/>
  <c r="G337" i="1"/>
  <c r="G347" i="1" s="1"/>
  <c r="O347" i="1" s="1"/>
  <c r="G322" i="1"/>
  <c r="G326" i="1" s="1"/>
  <c r="G327" i="1" s="1"/>
  <c r="O327" i="1" s="1"/>
  <c r="G320" i="1"/>
  <c r="I319" i="1" s="1"/>
  <c r="L410" i="1"/>
  <c r="J409" i="1"/>
  <c r="H409" i="1"/>
  <c r="E407" i="1"/>
  <c r="E405" i="1"/>
  <c r="E403" i="1"/>
  <c r="E401" i="1"/>
  <c r="E399" i="1"/>
  <c r="A397" i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L395" i="1"/>
  <c r="N395" i="1" s="1"/>
  <c r="H394" i="1"/>
  <c r="E392" i="1"/>
  <c r="E390" i="1"/>
  <c r="E388" i="1"/>
  <c r="E386" i="1"/>
  <c r="E384" i="1"/>
  <c r="A382" i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L380" i="1"/>
  <c r="J379" i="1"/>
  <c r="H379" i="1"/>
  <c r="E377" i="1"/>
  <c r="E375" i="1"/>
  <c r="E373" i="1"/>
  <c r="E371" i="1"/>
  <c r="E369" i="1"/>
  <c r="A367" i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L365" i="1"/>
  <c r="N365" i="1" s="1"/>
  <c r="H364" i="1"/>
  <c r="E362" i="1"/>
  <c r="E360" i="1"/>
  <c r="E358" i="1"/>
  <c r="E356" i="1"/>
  <c r="E354" i="1"/>
  <c r="A352" i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H349" i="1"/>
  <c r="E347" i="1"/>
  <c r="E345" i="1"/>
  <c r="E343" i="1"/>
  <c r="E341" i="1"/>
  <c r="E339" i="1"/>
  <c r="L350" i="1"/>
  <c r="J349" i="1"/>
  <c r="A337" i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L335" i="1"/>
  <c r="N335" i="1" s="1"/>
  <c r="A322" i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O317" i="1"/>
  <c r="J319" i="1"/>
  <c r="G318" i="1"/>
  <c r="O318" i="1" s="1"/>
  <c r="G316" i="1"/>
  <c r="O316" i="1" s="1"/>
  <c r="O315" i="1"/>
  <c r="G314" i="1"/>
  <c r="O314" i="1" s="1"/>
  <c r="O313" i="1"/>
  <c r="G312" i="1"/>
  <c r="O311" i="1"/>
  <c r="G310" i="1"/>
  <c r="O309" i="1"/>
  <c r="G308" i="1"/>
  <c r="O308" i="1" s="1"/>
  <c r="O307" i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L58" i="1"/>
  <c r="M58" i="1"/>
  <c r="M57" i="1"/>
  <c r="L57" i="1"/>
  <c r="J59" i="1"/>
  <c r="M54" i="1"/>
  <c r="M53" i="1"/>
  <c r="M52" i="1"/>
  <c r="M51" i="1"/>
  <c r="M50" i="1"/>
  <c r="M49" i="1"/>
  <c r="M48" i="1"/>
  <c r="M47" i="1"/>
  <c r="L48" i="1"/>
  <c r="L50" i="1"/>
  <c r="L51" i="1"/>
  <c r="L52" i="1"/>
  <c r="L54" i="1"/>
  <c r="L49" i="1"/>
  <c r="L47" i="1"/>
  <c r="G305" i="1"/>
  <c r="I304" i="1" s="1"/>
  <c r="G303" i="1"/>
  <c r="O303" i="1" s="1"/>
  <c r="G301" i="1"/>
  <c r="G299" i="1"/>
  <c r="G297" i="1"/>
  <c r="G295" i="1"/>
  <c r="G293" i="1"/>
  <c r="G291" i="1"/>
  <c r="K304" i="1"/>
  <c r="J304" i="1" s="1"/>
  <c r="A290" i="1"/>
  <c r="A291" i="1" s="1"/>
  <c r="A292" i="1" s="1"/>
  <c r="A293" i="1" s="1"/>
  <c r="A294" i="1" s="1"/>
  <c r="A295" i="1" s="1"/>
  <c r="A296" i="1" s="1"/>
  <c r="A297" i="1" s="1"/>
  <c r="A298" i="1" s="1"/>
  <c r="A299" i="1" s="1"/>
  <c r="A302" i="1" s="1"/>
  <c r="A303" i="1" s="1"/>
  <c r="A304" i="1" s="1"/>
  <c r="A305" i="1" s="1"/>
  <c r="M274" i="1"/>
  <c r="M273" i="1"/>
  <c r="L274" i="1"/>
  <c r="L273" i="1"/>
  <c r="O273" i="1" s="1"/>
  <c r="Q202" i="1"/>
  <c r="K253" i="1"/>
  <c r="Q201" i="1"/>
  <c r="M101" i="1"/>
  <c r="M100" i="1"/>
  <c r="L81" i="1"/>
  <c r="L80" i="1"/>
  <c r="L69" i="1"/>
  <c r="K256" i="1"/>
  <c r="K269" i="1"/>
  <c r="K252" i="1"/>
  <c r="K254" i="1"/>
  <c r="K255" i="1"/>
  <c r="K257" i="1"/>
  <c r="K258" i="1"/>
  <c r="K266" i="1"/>
  <c r="K268" i="1"/>
  <c r="K267" i="1"/>
  <c r="K265" i="1"/>
  <c r="K251" i="1"/>
  <c r="G288" i="1"/>
  <c r="I287" i="1" s="1"/>
  <c r="G282" i="1"/>
  <c r="G280" i="1"/>
  <c r="G278" i="1"/>
  <c r="G276" i="1"/>
  <c r="O276" i="1" s="1"/>
  <c r="O275" i="1"/>
  <c r="G274" i="1"/>
  <c r="A273" i="1"/>
  <c r="A274" i="1" s="1"/>
  <c r="A275" i="1" s="1"/>
  <c r="A276" i="1" s="1"/>
  <c r="A277" i="1" s="1"/>
  <c r="A278" i="1" s="1"/>
  <c r="A279" i="1" s="1"/>
  <c r="A280" i="1" s="1"/>
  <c r="A281" i="1" s="1"/>
  <c r="A282" i="1" s="1"/>
  <c r="A285" i="1" s="1"/>
  <c r="A286" i="1" s="1"/>
  <c r="A287" i="1" s="1"/>
  <c r="A288" i="1" s="1"/>
  <c r="M89" i="1"/>
  <c r="M88" i="1"/>
  <c r="M87" i="1"/>
  <c r="M86" i="1"/>
  <c r="M85" i="1"/>
  <c r="L64" i="1"/>
  <c r="M63" i="1"/>
  <c r="M64" i="1"/>
  <c r="L88" i="1"/>
  <c r="L86" i="1"/>
  <c r="M102" i="1"/>
  <c r="L65" i="1"/>
  <c r="L63" i="1"/>
  <c r="L62" i="1"/>
  <c r="L137" i="1"/>
  <c r="K140" i="1"/>
  <c r="K74" i="1"/>
  <c r="K138" i="1"/>
  <c r="K139" i="1"/>
  <c r="K193" i="1"/>
  <c r="M271" i="1" l="1"/>
  <c r="J367" i="1"/>
  <c r="N380" i="1"/>
  <c r="J337" i="1"/>
  <c r="N350" i="1"/>
  <c r="J397" i="1"/>
  <c r="N410" i="1"/>
  <c r="J446" i="1"/>
  <c r="N455" i="1"/>
  <c r="J465" i="1"/>
  <c r="N471" i="1"/>
  <c r="J473" i="1"/>
  <c r="N479" i="1"/>
  <c r="J481" i="1"/>
  <c r="N487" i="1"/>
  <c r="J489" i="1"/>
  <c r="N495" i="1"/>
  <c r="J415" i="1"/>
  <c r="O280" i="1"/>
  <c r="O226" i="1"/>
  <c r="L237" i="1"/>
  <c r="J226" i="1" s="1"/>
  <c r="O412" i="1"/>
  <c r="O413" i="1" s="1"/>
  <c r="M249" i="1"/>
  <c r="J457" i="1"/>
  <c r="O444" i="1"/>
  <c r="O523" i="1"/>
  <c r="L444" i="1"/>
  <c r="N444" i="1" s="1"/>
  <c r="G455" i="1"/>
  <c r="I454" i="1" s="1"/>
  <c r="G454" i="1"/>
  <c r="O454" i="1" s="1"/>
  <c r="O463" i="1"/>
  <c r="N260" i="1"/>
  <c r="L249" i="1"/>
  <c r="N439" i="1"/>
  <c r="O278" i="1"/>
  <c r="O282" i="1"/>
  <c r="J352" i="1"/>
  <c r="O299" i="1"/>
  <c r="J382" i="1"/>
  <c r="J322" i="1"/>
  <c r="O497" i="1"/>
  <c r="O498" i="1" s="1"/>
  <c r="L498" i="1"/>
  <c r="J497" i="1" s="1"/>
  <c r="O291" i="1"/>
  <c r="A283" i="1"/>
  <c r="A284" i="1" s="1"/>
  <c r="O297" i="1"/>
  <c r="O471" i="1"/>
  <c r="O495" i="1"/>
  <c r="O479" i="1"/>
  <c r="O487" i="1"/>
  <c r="A449" i="1"/>
  <c r="A450" i="1" s="1"/>
  <c r="A451" i="1" s="1"/>
  <c r="A452" i="1" s="1"/>
  <c r="A453" i="1" s="1"/>
  <c r="O448" i="1"/>
  <c r="G422" i="1"/>
  <c r="O422" i="1" s="1"/>
  <c r="O426" i="1"/>
  <c r="G360" i="1"/>
  <c r="G362" i="1"/>
  <c r="G363" i="1" s="1"/>
  <c r="O363" i="1" s="1"/>
  <c r="O352" i="1"/>
  <c r="G353" i="1"/>
  <c r="O353" i="1" s="1"/>
  <c r="O322" i="1"/>
  <c r="G359" i="1"/>
  <c r="O359" i="1" s="1"/>
  <c r="O358" i="1"/>
  <c r="G391" i="1"/>
  <c r="O391" i="1" s="1"/>
  <c r="O390" i="1"/>
  <c r="G328" i="1"/>
  <c r="G330" i="1"/>
  <c r="G371" i="1"/>
  <c r="G332" i="1"/>
  <c r="O332" i="1" s="1"/>
  <c r="G373" i="1"/>
  <c r="G377" i="1"/>
  <c r="O337" i="1"/>
  <c r="G343" i="1"/>
  <c r="G344" i="1" s="1"/>
  <c r="O344" i="1" s="1"/>
  <c r="G368" i="1"/>
  <c r="O368" i="1" s="1"/>
  <c r="G386" i="1"/>
  <c r="G388" i="1"/>
  <c r="G389" i="1" s="1"/>
  <c r="O389" i="1" s="1"/>
  <c r="G399" i="1"/>
  <c r="O399" i="1" s="1"/>
  <c r="O382" i="1"/>
  <c r="G401" i="1"/>
  <c r="G354" i="1"/>
  <c r="G392" i="1"/>
  <c r="G418" i="1"/>
  <c r="O418" i="1" s="1"/>
  <c r="G323" i="1"/>
  <c r="O323" i="1" s="1"/>
  <c r="G324" i="1"/>
  <c r="G325" i="1" s="1"/>
  <c r="O325" i="1" s="1"/>
  <c r="G369" i="1"/>
  <c r="G370" i="1" s="1"/>
  <c r="O370" i="1" s="1"/>
  <c r="G375" i="1"/>
  <c r="G339" i="1"/>
  <c r="G340" i="1" s="1"/>
  <c r="O340" i="1" s="1"/>
  <c r="G341" i="1"/>
  <c r="O341" i="1" s="1"/>
  <c r="G338" i="1"/>
  <c r="O338" i="1" s="1"/>
  <c r="G384" i="1"/>
  <c r="O384" i="1" s="1"/>
  <c r="G345" i="1"/>
  <c r="G346" i="1" s="1"/>
  <c r="O346" i="1" s="1"/>
  <c r="G416" i="1"/>
  <c r="O416" i="1" s="1"/>
  <c r="G383" i="1"/>
  <c r="O383" i="1" s="1"/>
  <c r="G407" i="1"/>
  <c r="G356" i="1"/>
  <c r="G357" i="1" s="1"/>
  <c r="O357" i="1" s="1"/>
  <c r="G405" i="1"/>
  <c r="O397" i="1"/>
  <c r="G419" i="1"/>
  <c r="G434" i="1" s="1"/>
  <c r="O434" i="1" s="1"/>
  <c r="O425" i="1"/>
  <c r="O421" i="1"/>
  <c r="G424" i="1"/>
  <c r="O423" i="1"/>
  <c r="N412" i="1"/>
  <c r="N413" i="1" s="1"/>
  <c r="G403" i="1"/>
  <c r="G404" i="1" s="1"/>
  <c r="O404" i="1" s="1"/>
  <c r="G348" i="1"/>
  <c r="O348" i="1" s="1"/>
  <c r="O326" i="1"/>
  <c r="A320" i="1"/>
  <c r="G319" i="1"/>
  <c r="O319" i="1" s="1"/>
  <c r="L305" i="1"/>
  <c r="J290" i="1" s="1"/>
  <c r="O310" i="1"/>
  <c r="O312" i="1"/>
  <c r="O293" i="1"/>
  <c r="L320" i="1"/>
  <c r="O295" i="1"/>
  <c r="G304" i="1"/>
  <c r="O304" i="1" s="1"/>
  <c r="L288" i="1"/>
  <c r="J273" i="1" s="1"/>
  <c r="G287" i="1"/>
  <c r="O287" i="1" s="1"/>
  <c r="O286" i="1"/>
  <c r="O274" i="1"/>
  <c r="O290" i="1"/>
  <c r="M82" i="1"/>
  <c r="M83" i="1"/>
  <c r="L82" i="1"/>
  <c r="K223" i="1"/>
  <c r="J270" i="1"/>
  <c r="N270" i="1"/>
  <c r="G271" i="1"/>
  <c r="K243" i="1"/>
  <c r="J243" i="1" s="1"/>
  <c r="J244" i="1"/>
  <c r="O248" i="1"/>
  <c r="J239" i="1"/>
  <c r="K260" i="1"/>
  <c r="J260" i="1" s="1"/>
  <c r="J269" i="1"/>
  <c r="J268" i="1"/>
  <c r="J267" i="1"/>
  <c r="J266" i="1"/>
  <c r="J265" i="1"/>
  <c r="J264" i="1"/>
  <c r="J263" i="1"/>
  <c r="O260" i="1"/>
  <c r="J259" i="1"/>
  <c r="J258" i="1"/>
  <c r="J257" i="1"/>
  <c r="J256" i="1"/>
  <c r="J255" i="1"/>
  <c r="J254" i="1"/>
  <c r="J253" i="1"/>
  <c r="J252" i="1"/>
  <c r="J251" i="1"/>
  <c r="L271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A263" i="1"/>
  <c r="A264" i="1" s="1"/>
  <c r="A265" i="1" s="1"/>
  <c r="A266" i="1" s="1"/>
  <c r="A267" i="1" s="1"/>
  <c r="A268" i="1" s="1"/>
  <c r="A269" i="1" s="1"/>
  <c r="M261" i="1"/>
  <c r="L261" i="1"/>
  <c r="G261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A251" i="1"/>
  <c r="A252" i="1" s="1"/>
  <c r="A253" i="1" s="1"/>
  <c r="A254" i="1" s="1"/>
  <c r="A255" i="1" s="1"/>
  <c r="A256" i="1" s="1"/>
  <c r="A257" i="1" s="1"/>
  <c r="A258" i="1" s="1"/>
  <c r="A259" i="1" s="1"/>
  <c r="A261" i="1" s="1"/>
  <c r="K242" i="1"/>
  <c r="J242" i="1" s="1"/>
  <c r="K248" i="1"/>
  <c r="J248" i="1" s="1"/>
  <c r="G249" i="1"/>
  <c r="K246" i="1"/>
  <c r="J246" i="1" s="1"/>
  <c r="K247" i="1"/>
  <c r="J247" i="1" s="1"/>
  <c r="K245" i="1"/>
  <c r="J245" i="1" s="1"/>
  <c r="J240" i="1"/>
  <c r="J241" i="1"/>
  <c r="K85" i="1"/>
  <c r="L223" i="1"/>
  <c r="K68" i="1"/>
  <c r="G72" i="1"/>
  <c r="N247" i="1"/>
  <c r="O247" i="1"/>
  <c r="O246" i="1"/>
  <c r="N246" i="1"/>
  <c r="O245" i="1"/>
  <c r="N245" i="1"/>
  <c r="O244" i="1"/>
  <c r="N244" i="1"/>
  <c r="O243" i="1"/>
  <c r="N243" i="1"/>
  <c r="N241" i="1"/>
  <c r="N240" i="1"/>
  <c r="N239" i="1"/>
  <c r="A239" i="1"/>
  <c r="A240" i="1" s="1"/>
  <c r="A241" i="1" s="1"/>
  <c r="A242" i="1" s="1"/>
  <c r="A243" i="1" s="1"/>
  <c r="A244" i="1" s="1"/>
  <c r="A245" i="1" s="1"/>
  <c r="A246" i="1" s="1"/>
  <c r="A247" i="1" s="1"/>
  <c r="A249" i="1" s="1"/>
  <c r="M177" i="1"/>
  <c r="M176" i="1"/>
  <c r="M179" i="1"/>
  <c r="M178" i="1"/>
  <c r="M175" i="1"/>
  <c r="M174" i="1"/>
  <c r="G237" i="1"/>
  <c r="O235" i="1"/>
  <c r="A226" i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L115" i="1"/>
  <c r="M115" i="1"/>
  <c r="M114" i="1"/>
  <c r="L114" i="1"/>
  <c r="M110" i="1"/>
  <c r="L110" i="1"/>
  <c r="L111" i="1"/>
  <c r="M106" i="1"/>
  <c r="L106" i="1"/>
  <c r="L102" i="1"/>
  <c r="M111" i="1"/>
  <c r="M107" i="1"/>
  <c r="L107" i="1"/>
  <c r="M103" i="1"/>
  <c r="L103" i="1"/>
  <c r="M109" i="1"/>
  <c r="M108" i="1"/>
  <c r="K137" i="1"/>
  <c r="K136" i="1"/>
  <c r="G139" i="1"/>
  <c r="G138" i="1"/>
  <c r="G137" i="1"/>
  <c r="G136" i="1"/>
  <c r="M105" i="1"/>
  <c r="M104" i="1"/>
  <c r="L101" i="1"/>
  <c r="L100" i="1"/>
  <c r="M113" i="1"/>
  <c r="M112" i="1"/>
  <c r="L113" i="1"/>
  <c r="L112" i="1"/>
  <c r="L105" i="1"/>
  <c r="L104" i="1"/>
  <c r="M140" i="1"/>
  <c r="L140" i="1"/>
  <c r="N232" i="1" s="1"/>
  <c r="M137" i="1"/>
  <c r="M136" i="1"/>
  <c r="L136" i="1"/>
  <c r="M139" i="1"/>
  <c r="L139" i="1"/>
  <c r="M138" i="1"/>
  <c r="L138" i="1"/>
  <c r="L181" i="1"/>
  <c r="J307" i="1" l="1"/>
  <c r="N320" i="1"/>
  <c r="N249" i="1"/>
  <c r="G406" i="1"/>
  <c r="O406" i="1" s="1"/>
  <c r="G410" i="1"/>
  <c r="I409" i="1" s="1"/>
  <c r="G395" i="1"/>
  <c r="I394" i="1" s="1"/>
  <c r="O288" i="1"/>
  <c r="G342" i="1"/>
  <c r="O342" i="1" s="1"/>
  <c r="A454" i="1"/>
  <c r="A455" i="1" s="1"/>
  <c r="G400" i="1"/>
  <c r="O400" i="1" s="1"/>
  <c r="G420" i="1"/>
  <c r="O420" i="1" s="1"/>
  <c r="I433" i="1"/>
  <c r="O455" i="1"/>
  <c r="G365" i="1"/>
  <c r="I364" i="1" s="1"/>
  <c r="O388" i="1"/>
  <c r="O417" i="1"/>
  <c r="G380" i="1"/>
  <c r="I379" i="1" s="1"/>
  <c r="O356" i="1"/>
  <c r="O362" i="1"/>
  <c r="G335" i="1"/>
  <c r="I334" i="1" s="1"/>
  <c r="O339" i="1"/>
  <c r="G333" i="1"/>
  <c r="O333" i="1" s="1"/>
  <c r="O320" i="1"/>
  <c r="O419" i="1"/>
  <c r="O360" i="1"/>
  <c r="G361" i="1"/>
  <c r="O361" i="1" s="1"/>
  <c r="G350" i="1"/>
  <c r="I349" i="1" s="1"/>
  <c r="O373" i="1"/>
  <c r="G374" i="1"/>
  <c r="O374" i="1" s="1"/>
  <c r="G372" i="1"/>
  <c r="O372" i="1" s="1"/>
  <c r="O371" i="1"/>
  <c r="O369" i="1"/>
  <c r="O328" i="1"/>
  <c r="G329" i="1"/>
  <c r="O329" i="1" s="1"/>
  <c r="G355" i="1"/>
  <c r="O354" i="1"/>
  <c r="O324" i="1"/>
  <c r="G385" i="1"/>
  <c r="O385" i="1" s="1"/>
  <c r="G408" i="1"/>
  <c r="O408" i="1" s="1"/>
  <c r="O407" i="1"/>
  <c r="G402" i="1"/>
  <c r="O402" i="1" s="1"/>
  <c r="O401" i="1"/>
  <c r="O343" i="1"/>
  <c r="G376" i="1"/>
  <c r="O375" i="1"/>
  <c r="O405" i="1"/>
  <c r="G387" i="1"/>
  <c r="O387" i="1" s="1"/>
  <c r="O386" i="1"/>
  <c r="O345" i="1"/>
  <c r="O377" i="1"/>
  <c r="G378" i="1"/>
  <c r="O378" i="1" s="1"/>
  <c r="G331" i="1"/>
  <c r="O331" i="1" s="1"/>
  <c r="O330" i="1"/>
  <c r="O403" i="1"/>
  <c r="O392" i="1"/>
  <c r="G393" i="1"/>
  <c r="O393" i="1" s="1"/>
  <c r="O424" i="1"/>
  <c r="M141" i="1"/>
  <c r="O305" i="1"/>
  <c r="A270" i="1"/>
  <c r="A271" i="1" s="1"/>
  <c r="O271" i="1"/>
  <c r="O261" i="1"/>
  <c r="N261" i="1"/>
  <c r="N271" i="1"/>
  <c r="N242" i="1"/>
  <c r="J136" i="1"/>
  <c r="L117" i="1"/>
  <c r="O242" i="1"/>
  <c r="O249" i="1" s="1"/>
  <c r="N229" i="1"/>
  <c r="M117" i="1"/>
  <c r="L141" i="1"/>
  <c r="N233" i="1" s="1"/>
  <c r="G141" i="1"/>
  <c r="M126" i="1"/>
  <c r="M125" i="1"/>
  <c r="L122" i="1"/>
  <c r="L121" i="1"/>
  <c r="M122" i="1"/>
  <c r="M121" i="1"/>
  <c r="G433" i="1" l="1"/>
  <c r="O433" i="1" s="1"/>
  <c r="G349" i="1"/>
  <c r="O349" i="1" s="1"/>
  <c r="O350" i="1" s="1"/>
  <c r="G334" i="1"/>
  <c r="O334" i="1" s="1"/>
  <c r="O335" i="1" s="1"/>
  <c r="O355" i="1"/>
  <c r="G364" i="1"/>
  <c r="O364" i="1" s="1"/>
  <c r="G394" i="1"/>
  <c r="O394" i="1" s="1"/>
  <c r="O395" i="1" s="1"/>
  <c r="G409" i="1"/>
  <c r="O409" i="1" s="1"/>
  <c r="O410" i="1" s="1"/>
  <c r="O376" i="1"/>
  <c r="G379" i="1"/>
  <c r="O379" i="1" s="1"/>
  <c r="L212" i="1"/>
  <c r="L211" i="1"/>
  <c r="L210" i="1"/>
  <c r="N147" i="1"/>
  <c r="N146" i="1"/>
  <c r="N153" i="1"/>
  <c r="N152" i="1"/>
  <c r="L184" i="1"/>
  <c r="L222" i="1" s="1"/>
  <c r="L183" i="1"/>
  <c r="G175" i="1"/>
  <c r="M200" i="1"/>
  <c r="M199" i="1"/>
  <c r="L200" i="1"/>
  <c r="L199" i="1"/>
  <c r="M222" i="1"/>
  <c r="M221" i="1"/>
  <c r="G221" i="1"/>
  <c r="G219" i="1"/>
  <c r="G217" i="1"/>
  <c r="G215" i="1"/>
  <c r="L214" i="1"/>
  <c r="M214" i="1"/>
  <c r="M213" i="1"/>
  <c r="L213" i="1"/>
  <c r="G213" i="1"/>
  <c r="M211" i="1"/>
  <c r="G211" i="1"/>
  <c r="G209" i="1"/>
  <c r="M210" i="1"/>
  <c r="M209" i="1"/>
  <c r="L208" i="1"/>
  <c r="L207" i="1"/>
  <c r="G207" i="1"/>
  <c r="G205" i="1"/>
  <c r="G203" i="1"/>
  <c r="G204" i="1" s="1"/>
  <c r="L201" i="1"/>
  <c r="L202" i="1"/>
  <c r="M202" i="1"/>
  <c r="M201" i="1"/>
  <c r="G201" i="1"/>
  <c r="G202" i="1" s="1"/>
  <c r="G199" i="1"/>
  <c r="G197" i="1"/>
  <c r="G198" i="1" s="1"/>
  <c r="G195" i="1"/>
  <c r="G196" i="1" s="1"/>
  <c r="G193" i="1"/>
  <c r="G194" i="1" s="1"/>
  <c r="L195" i="1"/>
  <c r="L196" i="1"/>
  <c r="M196" i="1"/>
  <c r="M195" i="1"/>
  <c r="G190" i="1"/>
  <c r="I189" i="1" s="1"/>
  <c r="J189" i="1"/>
  <c r="G188" i="1"/>
  <c r="O188" i="1" s="1"/>
  <c r="F188" i="1"/>
  <c r="O187" i="1"/>
  <c r="G186" i="1"/>
  <c r="O186" i="1" s="1"/>
  <c r="F186" i="1"/>
  <c r="O185" i="1"/>
  <c r="G184" i="1"/>
  <c r="F184" i="1"/>
  <c r="A188" i="1"/>
  <c r="A189" i="1" s="1"/>
  <c r="L159" i="1"/>
  <c r="O136" i="1"/>
  <c r="M164" i="1"/>
  <c r="M160" i="1"/>
  <c r="N235" i="1" s="1"/>
  <c r="M170" i="1"/>
  <c r="M168" i="1"/>
  <c r="M208" i="1" s="1"/>
  <c r="M166" i="1"/>
  <c r="M212" i="1" s="1"/>
  <c r="M162" i="1"/>
  <c r="M159" i="1"/>
  <c r="M167" i="1"/>
  <c r="M207" i="1" s="1"/>
  <c r="G157" i="1"/>
  <c r="A90" i="1"/>
  <c r="A89" i="1"/>
  <c r="A88" i="1"/>
  <c r="A87" i="1"/>
  <c r="A86" i="1"/>
  <c r="A85" i="1"/>
  <c r="A82" i="1"/>
  <c r="A76" i="1"/>
  <c r="A78" i="1"/>
  <c r="A80" i="1"/>
  <c r="G170" i="1"/>
  <c r="M148" i="1"/>
  <c r="L148" i="1"/>
  <c r="M130" i="1"/>
  <c r="M206" i="1" s="1"/>
  <c r="M129" i="1"/>
  <c r="M205" i="1" s="1"/>
  <c r="L130" i="1"/>
  <c r="L206" i="1" s="1"/>
  <c r="L129" i="1"/>
  <c r="O129" i="1" s="1"/>
  <c r="O121" i="1"/>
  <c r="N121" i="1"/>
  <c r="N122" i="1"/>
  <c r="N125" i="1"/>
  <c r="N126" i="1"/>
  <c r="N133" i="1"/>
  <c r="M132" i="1"/>
  <c r="M131" i="1"/>
  <c r="L132" i="1"/>
  <c r="L131" i="1"/>
  <c r="L219" i="1" s="1"/>
  <c r="N223" i="1"/>
  <c r="L144" i="1"/>
  <c r="M144" i="1"/>
  <c r="N143" i="1"/>
  <c r="L38" i="1"/>
  <c r="J36" i="1" s="1"/>
  <c r="M38" i="1"/>
  <c r="N37" i="1"/>
  <c r="M34" i="1"/>
  <c r="L34" i="1"/>
  <c r="J32" i="1" s="1"/>
  <c r="N33" i="1"/>
  <c r="A33" i="1"/>
  <c r="A34" i="1" s="1"/>
  <c r="A37" i="1"/>
  <c r="A38" i="1" s="1"/>
  <c r="G38" i="1"/>
  <c r="O36" i="1"/>
  <c r="O38" i="1" s="1"/>
  <c r="N36" i="1"/>
  <c r="G34" i="1"/>
  <c r="O32" i="1"/>
  <c r="O34" i="1" s="1"/>
  <c r="N32" i="1"/>
  <c r="O365" i="1" l="1"/>
  <c r="O380" i="1"/>
  <c r="N34" i="1"/>
  <c r="O183" i="1"/>
  <c r="L190" i="1"/>
  <c r="J183" i="1" s="1"/>
  <c r="L209" i="1"/>
  <c r="N209" i="1" s="1"/>
  <c r="L60" i="1"/>
  <c r="N132" i="1"/>
  <c r="L172" i="1"/>
  <c r="J159" i="1" s="1"/>
  <c r="O234" i="1"/>
  <c r="N236" i="1"/>
  <c r="O154" i="1"/>
  <c r="L216" i="1"/>
  <c r="N228" i="1"/>
  <c r="M215" i="1"/>
  <c r="N234" i="1"/>
  <c r="M216" i="1"/>
  <c r="L221" i="1"/>
  <c r="N221" i="1" s="1"/>
  <c r="M219" i="1"/>
  <c r="M220" i="1"/>
  <c r="N211" i="1"/>
  <c r="M217" i="1"/>
  <c r="L217" i="1"/>
  <c r="N195" i="1"/>
  <c r="L215" i="1"/>
  <c r="N202" i="1"/>
  <c r="N214" i="1"/>
  <c r="N200" i="1"/>
  <c r="N210" i="1"/>
  <c r="L205" i="1"/>
  <c r="N205" i="1" s="1"/>
  <c r="L220" i="1"/>
  <c r="N196" i="1"/>
  <c r="N213" i="1"/>
  <c r="N201" i="1"/>
  <c r="N222" i="1"/>
  <c r="N207" i="1"/>
  <c r="N38" i="1"/>
  <c r="G189" i="1"/>
  <c r="O189" i="1" s="1"/>
  <c r="O184" i="1"/>
  <c r="N208" i="1"/>
  <c r="N212" i="1"/>
  <c r="N154" i="1"/>
  <c r="N129" i="1"/>
  <c r="N131" i="1"/>
  <c r="N155" i="1"/>
  <c r="N130" i="1"/>
  <c r="N148" i="1"/>
  <c r="N206" i="1"/>
  <c r="N144" i="1"/>
  <c r="M26" i="1"/>
  <c r="N26" i="1" s="1"/>
  <c r="N27" i="1" s="1"/>
  <c r="M20" i="1"/>
  <c r="N20" i="1" s="1"/>
  <c r="N21" i="1" s="1"/>
  <c r="F179" i="1"/>
  <c r="F177" i="1"/>
  <c r="F175" i="1"/>
  <c r="O170" i="1"/>
  <c r="G168" i="1"/>
  <c r="O168" i="1" s="1"/>
  <c r="G166" i="1"/>
  <c r="O166" i="1" s="1"/>
  <c r="G164" i="1"/>
  <c r="O164" i="1" s="1"/>
  <c r="G162" i="1"/>
  <c r="O162" i="1" s="1"/>
  <c r="G160" i="1"/>
  <c r="O160" i="1" s="1"/>
  <c r="G172" i="1"/>
  <c r="I171" i="1" s="1"/>
  <c r="G181" i="1"/>
  <c r="I180" i="1" s="1"/>
  <c r="G179" i="1"/>
  <c r="O179" i="1" s="1"/>
  <c r="G177" i="1"/>
  <c r="O177" i="1" s="1"/>
  <c r="J174" i="1"/>
  <c r="A181" i="1"/>
  <c r="O178" i="1"/>
  <c r="O176" i="1"/>
  <c r="O174" i="1"/>
  <c r="A174" i="1"/>
  <c r="A175" i="1" s="1"/>
  <c r="A176" i="1" s="1"/>
  <c r="A177" i="1" s="1"/>
  <c r="A178" i="1" s="1"/>
  <c r="A179" i="1" s="1"/>
  <c r="A180" i="1" s="1"/>
  <c r="M124" i="1"/>
  <c r="M198" i="1" s="1"/>
  <c r="L124" i="1"/>
  <c r="M123" i="1"/>
  <c r="M197" i="1" s="1"/>
  <c r="L123" i="1"/>
  <c r="L197" i="1" s="1"/>
  <c r="M120" i="1"/>
  <c r="M194" i="1" s="1"/>
  <c r="L120" i="1"/>
  <c r="L194" i="1" s="1"/>
  <c r="M119" i="1"/>
  <c r="M193" i="1" s="1"/>
  <c r="L119" i="1"/>
  <c r="L193" i="1" s="1"/>
  <c r="M151" i="1"/>
  <c r="L151" i="1"/>
  <c r="M150" i="1"/>
  <c r="N150" i="1" s="1"/>
  <c r="L127" i="1"/>
  <c r="L203" i="1" s="1"/>
  <c r="L128" i="1"/>
  <c r="M128" i="1"/>
  <c r="M127" i="1"/>
  <c r="M149" i="1"/>
  <c r="M218" i="1" s="1"/>
  <c r="L149" i="1"/>
  <c r="L218" i="1" s="1"/>
  <c r="I156" i="1"/>
  <c r="G155" i="1"/>
  <c r="G153" i="1"/>
  <c r="G151" i="1"/>
  <c r="G149" i="1"/>
  <c r="G147" i="1"/>
  <c r="O147" i="1" s="1"/>
  <c r="A137" i="1"/>
  <c r="G140" i="1"/>
  <c r="G134" i="1"/>
  <c r="I133" i="1" s="1"/>
  <c r="K119" i="1" s="1"/>
  <c r="G117" i="1"/>
  <c r="I116" i="1" s="1"/>
  <c r="K100" i="1" s="1"/>
  <c r="G132" i="1"/>
  <c r="O132" i="1" s="1"/>
  <c r="G130" i="1"/>
  <c r="O130" i="1" s="1"/>
  <c r="G128" i="1"/>
  <c r="G126" i="1"/>
  <c r="O126" i="1" s="1"/>
  <c r="G124" i="1"/>
  <c r="G122" i="1"/>
  <c r="O122" i="1" s="1"/>
  <c r="G120" i="1"/>
  <c r="O100" i="1"/>
  <c r="G115" i="1"/>
  <c r="O115" i="1" s="1"/>
  <c r="G113" i="1"/>
  <c r="O113" i="1" s="1"/>
  <c r="G111" i="1"/>
  <c r="G109" i="1"/>
  <c r="O109" i="1" s="1"/>
  <c r="G107" i="1"/>
  <c r="O107" i="1" s="1"/>
  <c r="G105" i="1"/>
  <c r="O105" i="1" s="1"/>
  <c r="G103" i="1"/>
  <c r="O103" i="1" s="1"/>
  <c r="G101" i="1"/>
  <c r="M66" i="1"/>
  <c r="L66" i="1"/>
  <c r="M45" i="1"/>
  <c r="N41" i="1"/>
  <c r="N42" i="1"/>
  <c r="N43" i="1"/>
  <c r="N44" i="1"/>
  <c r="N40" i="1"/>
  <c r="G58" i="1"/>
  <c r="G56" i="1"/>
  <c r="G54" i="1"/>
  <c r="G52" i="1"/>
  <c r="G50" i="1"/>
  <c r="G48" i="1"/>
  <c r="K40" i="1"/>
  <c r="N29" i="1"/>
  <c r="N30" i="1" s="1"/>
  <c r="M30" i="1"/>
  <c r="N23" i="1"/>
  <c r="N24" i="1" s="1"/>
  <c r="M24" i="1"/>
  <c r="M18" i="1"/>
  <c r="L14" i="1"/>
  <c r="O14" i="1" s="1"/>
  <c r="L24" i="1"/>
  <c r="J23" i="1" s="1"/>
  <c r="G24" i="1"/>
  <c r="A24" i="1"/>
  <c r="O23" i="1"/>
  <c r="O24" i="1" s="1"/>
  <c r="L16" i="1"/>
  <c r="N16" i="1" s="1"/>
  <c r="L15" i="1"/>
  <c r="N15" i="1" s="1"/>
  <c r="L17" i="1"/>
  <c r="N17" i="1" s="1"/>
  <c r="J223" i="1"/>
  <c r="O169" i="1"/>
  <c r="O167" i="1"/>
  <c r="O165" i="1"/>
  <c r="O163" i="1"/>
  <c r="O161" i="1"/>
  <c r="O159" i="1"/>
  <c r="J171" i="1"/>
  <c r="A159" i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M157" i="1" l="1"/>
  <c r="N216" i="1"/>
  <c r="N215" i="1"/>
  <c r="O153" i="1"/>
  <c r="O155" i="1"/>
  <c r="N227" i="1"/>
  <c r="O232" i="1"/>
  <c r="N219" i="1"/>
  <c r="N194" i="1"/>
  <c r="N220" i="1"/>
  <c r="N217" i="1"/>
  <c r="N193" i="1"/>
  <c r="N197" i="1"/>
  <c r="N218" i="1"/>
  <c r="N124" i="1"/>
  <c r="L198" i="1"/>
  <c r="N198" i="1" s="1"/>
  <c r="M27" i="1"/>
  <c r="M203" i="1"/>
  <c r="M204" i="1"/>
  <c r="L204" i="1"/>
  <c r="N231" i="1" s="1"/>
  <c r="G222" i="1"/>
  <c r="O222" i="1" s="1"/>
  <c r="O221" i="1"/>
  <c r="O128" i="1"/>
  <c r="O149" i="1"/>
  <c r="N151" i="1"/>
  <c r="M21" i="1"/>
  <c r="O190" i="1"/>
  <c r="G171" i="1"/>
  <c r="O171" i="1" s="1"/>
  <c r="O172" i="1" s="1"/>
  <c r="O120" i="1"/>
  <c r="O124" i="1"/>
  <c r="N199" i="1"/>
  <c r="N128" i="1"/>
  <c r="N120" i="1"/>
  <c r="O151" i="1"/>
  <c r="N149" i="1"/>
  <c r="N123" i="1"/>
  <c r="O123" i="1"/>
  <c r="O119" i="1"/>
  <c r="N119" i="1"/>
  <c r="N127" i="1"/>
  <c r="O127" i="1"/>
  <c r="L157" i="1"/>
  <c r="G180" i="1"/>
  <c r="O180" i="1" s="1"/>
  <c r="O175" i="1"/>
  <c r="N136" i="1"/>
  <c r="N137" i="1"/>
  <c r="N140" i="1"/>
  <c r="N139" i="1"/>
  <c r="N138" i="1"/>
  <c r="G156" i="1"/>
  <c r="O156" i="1" s="1"/>
  <c r="O111" i="1"/>
  <c r="G133" i="1"/>
  <c r="G116" i="1"/>
  <c r="K116" i="1" s="1"/>
  <c r="O101" i="1"/>
  <c r="N66" i="1"/>
  <c r="G60" i="1"/>
  <c r="N14" i="1"/>
  <c r="N18" i="1" s="1"/>
  <c r="N157" i="1" l="1"/>
  <c r="O231" i="1"/>
  <c r="O233" i="1"/>
  <c r="O229" i="1"/>
  <c r="M224" i="1"/>
  <c r="N237" i="1" s="1"/>
  <c r="L224" i="1"/>
  <c r="N203" i="1"/>
  <c r="N204" i="1"/>
  <c r="O181" i="1"/>
  <c r="K133" i="1"/>
  <c r="J133" i="1" s="1"/>
  <c r="O133" i="1"/>
  <c r="N141" i="1"/>
  <c r="N230" i="1" l="1"/>
  <c r="O230" i="1"/>
  <c r="N224" i="1"/>
  <c r="J146" i="1" l="1"/>
  <c r="J156" i="1"/>
  <c r="O152" i="1"/>
  <c r="O150" i="1"/>
  <c r="O148" i="1"/>
  <c r="O146" i="1"/>
  <c r="A146" i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L83" i="1"/>
  <c r="O116" i="1"/>
  <c r="A193" i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3" i="1" s="1"/>
  <c r="A224" i="1" s="1"/>
  <c r="O143" i="1"/>
  <c r="O144" i="1" s="1"/>
  <c r="K143" i="1"/>
  <c r="K144" i="1" s="1"/>
  <c r="A143" i="1"/>
  <c r="A144" i="1" s="1"/>
  <c r="G144" i="1"/>
  <c r="K62" i="1"/>
  <c r="K141" i="1"/>
  <c r="O236" i="1" l="1"/>
  <c r="G218" i="1"/>
  <c r="O218" i="1" s="1"/>
  <c r="O194" i="1"/>
  <c r="O157" i="1"/>
  <c r="O193" i="1"/>
  <c r="J143" i="1"/>
  <c r="J144" i="1" s="1"/>
  <c r="O57" i="1"/>
  <c r="O55" i="1"/>
  <c r="O51" i="1"/>
  <c r="O49" i="1"/>
  <c r="O47" i="1"/>
  <c r="J116" i="1"/>
  <c r="O131" i="1"/>
  <c r="O125" i="1"/>
  <c r="O139" i="1"/>
  <c r="O138" i="1"/>
  <c r="O137" i="1"/>
  <c r="J137" i="1"/>
  <c r="J138" i="1"/>
  <c r="J140" i="1"/>
  <c r="J139" i="1"/>
  <c r="O140" i="1"/>
  <c r="A138" i="1"/>
  <c r="A139" i="1" s="1"/>
  <c r="A141" i="1" s="1"/>
  <c r="J62" i="1"/>
  <c r="J141" i="1" l="1"/>
  <c r="O217" i="1"/>
  <c r="O213" i="1"/>
  <c r="G208" i="1"/>
  <c r="O208" i="1" s="1"/>
  <c r="G216" i="1"/>
  <c r="O216" i="1" s="1"/>
  <c r="O215" i="1"/>
  <c r="G210" i="1"/>
  <c r="O210" i="1" s="1"/>
  <c r="O209" i="1"/>
  <c r="O134" i="1"/>
  <c r="G59" i="1"/>
  <c r="O59" i="1" s="1"/>
  <c r="O141" i="1"/>
  <c r="A140" i="1"/>
  <c r="J47" i="1"/>
  <c r="J100" i="1"/>
  <c r="L134" i="1"/>
  <c r="N226" i="1" l="1"/>
  <c r="O237" i="1"/>
  <c r="O207" i="1"/>
  <c r="G214" i="1"/>
  <c r="O214" i="1" s="1"/>
  <c r="J119" i="1"/>
  <c r="N134" i="1"/>
  <c r="A92" i="1"/>
  <c r="A96" i="1" s="1"/>
  <c r="O92" i="1"/>
  <c r="A93" i="1"/>
  <c r="O93" i="1"/>
  <c r="A94" i="1"/>
  <c r="O94" i="1"/>
  <c r="A95" i="1"/>
  <c r="O95" i="1"/>
  <c r="O96" i="1"/>
  <c r="A97" i="1"/>
  <c r="O97" i="1"/>
  <c r="A98" i="1"/>
  <c r="G98" i="1"/>
  <c r="L98" i="1"/>
  <c r="J92" i="1" s="1"/>
  <c r="O98" i="1" l="1"/>
  <c r="A120" i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O114" i="1" l="1"/>
  <c r="G220" i="1" s="1"/>
  <c r="O112" i="1"/>
  <c r="O110" i="1"/>
  <c r="O108" i="1"/>
  <c r="O106" i="1"/>
  <c r="G200" i="1" s="1"/>
  <c r="O104" i="1"/>
  <c r="O102" i="1"/>
  <c r="A117" i="1"/>
  <c r="A103" i="1"/>
  <c r="A107" i="1" s="1"/>
  <c r="A108" i="1" s="1"/>
  <c r="A109" i="1" s="1"/>
  <c r="A110" i="1" s="1"/>
  <c r="A111" i="1" s="1"/>
  <c r="A115" i="1" s="1"/>
  <c r="A116" i="1" s="1"/>
  <c r="O117" i="1" l="1"/>
  <c r="O204" i="1"/>
  <c r="O219" i="1"/>
  <c r="O196" i="1"/>
  <c r="O195" i="1"/>
  <c r="O198" i="1"/>
  <c r="O197" i="1"/>
  <c r="O202" i="1"/>
  <c r="O201" i="1"/>
  <c r="O199" i="1"/>
  <c r="O200" i="1"/>
  <c r="G206" i="1"/>
  <c r="O206" i="1" s="1"/>
  <c r="O205" i="1"/>
  <c r="L90" i="1"/>
  <c r="J85" i="1" s="1"/>
  <c r="G90" i="1"/>
  <c r="O89" i="1"/>
  <c r="O88" i="1"/>
  <c r="O87" i="1"/>
  <c r="O86" i="1"/>
  <c r="O85" i="1"/>
  <c r="O76" i="1"/>
  <c r="O78" i="1"/>
  <c r="O80" i="1"/>
  <c r="O74" i="1"/>
  <c r="G82" i="1"/>
  <c r="G81" i="1"/>
  <c r="O81" i="1" s="1"/>
  <c r="G79" i="1"/>
  <c r="O79" i="1" s="1"/>
  <c r="G77" i="1"/>
  <c r="O77" i="1" s="1"/>
  <c r="G75" i="1"/>
  <c r="O75" i="1" s="1"/>
  <c r="J74" i="1"/>
  <c r="L72" i="1"/>
  <c r="J68" i="1" s="1"/>
  <c r="O70" i="1"/>
  <c r="O69" i="1"/>
  <c r="O68" i="1"/>
  <c r="A69" i="1"/>
  <c r="A70" i="1" s="1"/>
  <c r="O65" i="1"/>
  <c r="O64" i="1"/>
  <c r="O63" i="1"/>
  <c r="O62" i="1"/>
  <c r="O53" i="1"/>
  <c r="O40" i="1"/>
  <c r="O44" i="1"/>
  <c r="O43" i="1"/>
  <c r="O42" i="1"/>
  <c r="O41" i="1"/>
  <c r="O29" i="1"/>
  <c r="O30" i="1" s="1"/>
  <c r="O26" i="1"/>
  <c r="O27" i="1" s="1"/>
  <c r="O20" i="1"/>
  <c r="O21" i="1" s="1"/>
  <c r="O15" i="1"/>
  <c r="L2" i="1"/>
  <c r="O2" i="1" s="1"/>
  <c r="O8" i="1"/>
  <c r="O6" i="1"/>
  <c r="O17" i="1"/>
  <c r="O16" i="1"/>
  <c r="L3" i="1"/>
  <c r="O3" i="1" s="1"/>
  <c r="G66" i="1"/>
  <c r="A63" i="1"/>
  <c r="A64" i="1" s="1"/>
  <c r="A65" i="1" s="1"/>
  <c r="A66" i="1" s="1"/>
  <c r="L45" i="1"/>
  <c r="N45" i="1" s="1"/>
  <c r="A60" i="1"/>
  <c r="A18" i="1"/>
  <c r="G30" i="1"/>
  <c r="G27" i="1"/>
  <c r="G21" i="1"/>
  <c r="G12" i="1"/>
  <c r="G18" i="1"/>
  <c r="G45" i="1"/>
  <c r="H15" i="1"/>
  <c r="H16" i="1" s="1"/>
  <c r="H17" i="1" s="1"/>
  <c r="I15" i="1"/>
  <c r="I16" i="1" s="1"/>
  <c r="I17" i="1" s="1"/>
  <c r="L7" i="1"/>
  <c r="O7" i="1" s="1"/>
  <c r="A45" i="1"/>
  <c r="O72" i="1" l="1"/>
  <c r="O82" i="1"/>
  <c r="A72" i="1"/>
  <c r="A71" i="1"/>
  <c r="O203" i="1"/>
  <c r="G224" i="1"/>
  <c r="I223" i="1" s="1"/>
  <c r="O220" i="1"/>
  <c r="G223" i="1"/>
  <c r="O223" i="1" s="1"/>
  <c r="O45" i="1"/>
  <c r="O18" i="1"/>
  <c r="G83" i="1"/>
  <c r="O90" i="1"/>
  <c r="J40" i="1"/>
  <c r="O60" i="1"/>
  <c r="O66" i="1"/>
  <c r="L30" i="1"/>
  <c r="J29" i="1" s="1"/>
  <c r="A30" i="1"/>
  <c r="L27" i="1"/>
  <c r="J26" i="1" s="1"/>
  <c r="A27" i="1"/>
  <c r="G212" i="1" l="1"/>
  <c r="O212" i="1" s="1"/>
  <c r="O211" i="1"/>
  <c r="A21" i="1"/>
  <c r="L21" i="1"/>
  <c r="J20" i="1" s="1"/>
  <c r="L18" i="1"/>
  <c r="J14" i="1" s="1"/>
  <c r="A15" i="1"/>
  <c r="A16" i="1" s="1"/>
  <c r="A1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O224" i="1" l="1"/>
  <c r="L11" i="1"/>
  <c r="O11" i="1" s="1"/>
  <c r="L10" i="1"/>
  <c r="O10" i="1" s="1"/>
  <c r="L9" i="1"/>
  <c r="O9" i="1" s="1"/>
  <c r="L5" i="1"/>
  <c r="O5" i="1" s="1"/>
  <c r="L4" i="1"/>
  <c r="O4" i="1" l="1"/>
  <c r="O12" i="1" s="1"/>
  <c r="L12" i="1"/>
  <c r="J2" i="1" s="1"/>
  <c r="J193" i="1"/>
  <c r="N501" i="1"/>
  <c r="O500" i="1"/>
  <c r="O501" i="1" s="1"/>
  <c r="L501" i="1"/>
  <c r="J500" i="1" s="1"/>
</calcChain>
</file>

<file path=xl/sharedStrings.xml><?xml version="1.0" encoding="utf-8"?>
<sst xmlns="http://schemas.openxmlformats.org/spreadsheetml/2006/main" count="2735" uniqueCount="247">
  <si>
    <t>التاريخ</t>
  </si>
  <si>
    <t>العميل</t>
  </si>
  <si>
    <t>البوصة</t>
  </si>
  <si>
    <t>الصنف</t>
  </si>
  <si>
    <t>الكمية</t>
  </si>
  <si>
    <t>المصبغة</t>
  </si>
  <si>
    <t>21/7/2025</t>
  </si>
  <si>
    <t>30</t>
  </si>
  <si>
    <t>روماني حنا</t>
  </si>
  <si>
    <t>ممشط 30/1 ليكر 20</t>
  </si>
  <si>
    <t>بيكو</t>
  </si>
  <si>
    <t>اللون</t>
  </si>
  <si>
    <t>خ -مصبغة</t>
  </si>
  <si>
    <t>المستلم مصبغ</t>
  </si>
  <si>
    <t>المتبقي</t>
  </si>
  <si>
    <t>عرض مجهز</t>
  </si>
  <si>
    <t>وزن مجهز</t>
  </si>
  <si>
    <t>اسود</t>
  </si>
  <si>
    <t>173 سم</t>
  </si>
  <si>
    <t>180 جرام</t>
  </si>
  <si>
    <t>بيج</t>
  </si>
  <si>
    <t>ابيض</t>
  </si>
  <si>
    <t>فضي</t>
  </si>
  <si>
    <t>اخضر</t>
  </si>
  <si>
    <t>منت</t>
  </si>
  <si>
    <t>فراني</t>
  </si>
  <si>
    <t>اورنج</t>
  </si>
  <si>
    <t>عسلي</t>
  </si>
  <si>
    <t>تركواز</t>
  </si>
  <si>
    <t>أجماليات</t>
  </si>
  <si>
    <t>هالك</t>
  </si>
  <si>
    <t>عبدالرحمن سمير</t>
  </si>
  <si>
    <t>صباغة</t>
  </si>
  <si>
    <t>95 سم</t>
  </si>
  <si>
    <t>220 جرام</t>
  </si>
  <si>
    <t>فارما ارثومدكث</t>
  </si>
  <si>
    <t xml:space="preserve">قطيفة قطن </t>
  </si>
  <si>
    <t>160 سم</t>
  </si>
  <si>
    <t>170 جرام</t>
  </si>
  <si>
    <t>اوف وايت</t>
  </si>
  <si>
    <t>باسم التونسي</t>
  </si>
  <si>
    <t>بلوش مربعات</t>
  </si>
  <si>
    <t>سمر ميلتون سبن - شعيرات ليكرا</t>
  </si>
  <si>
    <t>175 سم</t>
  </si>
  <si>
    <t>165 سم</t>
  </si>
  <si>
    <t>190 جرام</t>
  </si>
  <si>
    <t>فسكوز ليكرا 20</t>
  </si>
  <si>
    <t>34</t>
  </si>
  <si>
    <t>تسليم</t>
  </si>
  <si>
    <t>ممشط 24/1 ليكرا 40</t>
  </si>
  <si>
    <t xml:space="preserve">كحلي </t>
  </si>
  <si>
    <t>ميلتون قطن - 70 - مخلوط</t>
  </si>
  <si>
    <t>حديدي</t>
  </si>
  <si>
    <t>روز</t>
  </si>
  <si>
    <t>شانية 8%</t>
  </si>
  <si>
    <t>240 جرام</t>
  </si>
  <si>
    <t>رصيد المصبغة</t>
  </si>
  <si>
    <t>جيما</t>
  </si>
  <si>
    <t>320 جرام</t>
  </si>
  <si>
    <t>ريب مخلوط 50/50 ليكرا</t>
  </si>
  <si>
    <t>انترلوك مخلوط 50/50</t>
  </si>
  <si>
    <t xml:space="preserve">ريب </t>
  </si>
  <si>
    <t>انترلوك</t>
  </si>
  <si>
    <t>ريب</t>
  </si>
  <si>
    <t>فرو قطن - 70 - 70 - شعيرات</t>
  </si>
  <si>
    <t xml:space="preserve">اسود </t>
  </si>
  <si>
    <t>360 جم</t>
  </si>
  <si>
    <t>بني غامق</t>
  </si>
  <si>
    <t>زيتي غامق</t>
  </si>
  <si>
    <t>نبيتي</t>
  </si>
  <si>
    <t>زيتي</t>
  </si>
  <si>
    <t>بتنجاني</t>
  </si>
  <si>
    <t>ليموني</t>
  </si>
  <si>
    <t>رمادي</t>
  </si>
  <si>
    <t>جملي</t>
  </si>
  <si>
    <t>320 جم</t>
  </si>
  <si>
    <t>محمد بركات</t>
  </si>
  <si>
    <t>ملغي</t>
  </si>
  <si>
    <t xml:space="preserve">ديربي </t>
  </si>
  <si>
    <t>صندوق الولاء</t>
  </si>
  <si>
    <t>52 سم</t>
  </si>
  <si>
    <t>54 سم</t>
  </si>
  <si>
    <t>56 سم</t>
  </si>
  <si>
    <t>58 سم</t>
  </si>
  <si>
    <t>قطن 30/1</t>
  </si>
  <si>
    <t>ريب قطن ليكرا</t>
  </si>
  <si>
    <t>19</t>
  </si>
  <si>
    <t>20</t>
  </si>
  <si>
    <t>21</t>
  </si>
  <si>
    <t>22</t>
  </si>
  <si>
    <t>160 جرام</t>
  </si>
  <si>
    <t>80 سم</t>
  </si>
  <si>
    <t>بدر الدين</t>
  </si>
  <si>
    <t>قطن 30/1 ليكرا 20</t>
  </si>
  <si>
    <t>170 سم</t>
  </si>
  <si>
    <t>ديربي ميلتون</t>
  </si>
  <si>
    <t>محمد بركات جديد</t>
  </si>
  <si>
    <t>المصنع
2B</t>
  </si>
  <si>
    <t>عادل عبدالباقي AB</t>
  </si>
  <si>
    <t>انديجو</t>
  </si>
  <si>
    <t>رصيد المخزن</t>
  </si>
  <si>
    <t>استلام العميل</t>
  </si>
  <si>
    <t>المتبقي المصبغة</t>
  </si>
  <si>
    <t>ميلتون</t>
  </si>
  <si>
    <t>سوسن الرزاز</t>
  </si>
  <si>
    <t>لبني</t>
  </si>
  <si>
    <t>أخضر</t>
  </si>
  <si>
    <t>بيكا قطن</t>
  </si>
  <si>
    <t>تيال</t>
  </si>
  <si>
    <t>قطن 30</t>
  </si>
  <si>
    <t>59 سم</t>
  </si>
  <si>
    <t>115 سم</t>
  </si>
  <si>
    <t>140 جرام</t>
  </si>
  <si>
    <t>300 جرام</t>
  </si>
  <si>
    <t>مجمع فليز</t>
  </si>
  <si>
    <t>ممشط 40/1 ليكرا 20</t>
  </si>
  <si>
    <t>أبيض</t>
  </si>
  <si>
    <t>إسود</t>
  </si>
  <si>
    <t xml:space="preserve">فضي </t>
  </si>
  <si>
    <t>زيتوني</t>
  </si>
  <si>
    <t>كشمير</t>
  </si>
  <si>
    <t xml:space="preserve">زيتي </t>
  </si>
  <si>
    <t>بترولي</t>
  </si>
  <si>
    <t xml:space="preserve">لوكارنو </t>
  </si>
  <si>
    <t>24</t>
  </si>
  <si>
    <t xml:space="preserve">ممشط 40/1 </t>
  </si>
  <si>
    <t>48 سم</t>
  </si>
  <si>
    <t>50 سم</t>
  </si>
  <si>
    <t>55 سم</t>
  </si>
  <si>
    <t>61 سم</t>
  </si>
  <si>
    <t>75 سم</t>
  </si>
  <si>
    <t>130 جم</t>
  </si>
  <si>
    <t>ريب 1*1 ليكرا 70</t>
  </si>
  <si>
    <t>ريب 1*1 ليكرا 20</t>
  </si>
  <si>
    <t>موف</t>
  </si>
  <si>
    <t>ريب 1*1 ساده</t>
  </si>
  <si>
    <t>برسولا مخلوط 65/35 30/1</t>
  </si>
  <si>
    <t>15</t>
  </si>
  <si>
    <t>16</t>
  </si>
  <si>
    <t>17</t>
  </si>
  <si>
    <t>18</t>
  </si>
  <si>
    <t>26</t>
  </si>
  <si>
    <t>ريب مخلوط 65/35 1*1 هاف ليكرا 20</t>
  </si>
  <si>
    <t>44 سم</t>
  </si>
  <si>
    <t>46 سم</t>
  </si>
  <si>
    <t>سم</t>
  </si>
  <si>
    <t>170 جم</t>
  </si>
  <si>
    <t xml:space="preserve">ممشط 30/1 </t>
  </si>
  <si>
    <t>140 جم</t>
  </si>
  <si>
    <t>ريب ممشط 30/1 ليكرا 20</t>
  </si>
  <si>
    <t xml:space="preserve">عيد قاسم </t>
  </si>
  <si>
    <t>نور عامر</t>
  </si>
  <si>
    <t>رينو</t>
  </si>
  <si>
    <t>22-12-2025</t>
  </si>
  <si>
    <t xml:space="preserve">بترولي </t>
  </si>
  <si>
    <t>محمد أبو العنين</t>
  </si>
  <si>
    <t>LKZ</t>
  </si>
  <si>
    <t>سكري</t>
  </si>
  <si>
    <t>رصاصي فاتح</t>
  </si>
  <si>
    <t>رصاصي غامق</t>
  </si>
  <si>
    <t>كافية</t>
  </si>
  <si>
    <t>ديربي LKZ</t>
  </si>
  <si>
    <t>PQ</t>
  </si>
  <si>
    <t>ديربي PQ</t>
  </si>
  <si>
    <t>RP</t>
  </si>
  <si>
    <t>GR</t>
  </si>
  <si>
    <t>MR</t>
  </si>
  <si>
    <t>SV</t>
  </si>
  <si>
    <t>بوكس ميش (لانسل)</t>
  </si>
  <si>
    <t>8-1-2026</t>
  </si>
  <si>
    <t>ممشط 30/1 ليكرا 40</t>
  </si>
  <si>
    <t>ريب ليكرا</t>
  </si>
  <si>
    <t>أوف وايت</t>
  </si>
  <si>
    <t>شانية 2%</t>
  </si>
  <si>
    <t>انديجو غامق</t>
  </si>
  <si>
    <t>رصاصي مخضر</t>
  </si>
  <si>
    <t>110 سم</t>
  </si>
  <si>
    <t>200 جم</t>
  </si>
  <si>
    <t>ليجن فسكوز - شعيرات</t>
  </si>
  <si>
    <t>عبدالله المحمدي</t>
  </si>
  <si>
    <t>بني</t>
  </si>
  <si>
    <t>أصفر</t>
  </si>
  <si>
    <t>4/2/2026</t>
  </si>
  <si>
    <t>عبدالرحمن سمير 2</t>
  </si>
  <si>
    <t>أحمد البربري</t>
  </si>
  <si>
    <t xml:space="preserve">ممشط 30/1 ليكرا </t>
  </si>
  <si>
    <t>منت جرين</t>
  </si>
  <si>
    <t>150 جم</t>
  </si>
  <si>
    <t xml:space="preserve">انترلوك قطن </t>
  </si>
  <si>
    <t>MR برن اوت طباعة</t>
  </si>
  <si>
    <t>F3 تفجير</t>
  </si>
  <si>
    <t>190 جم</t>
  </si>
  <si>
    <t xml:space="preserve"> </t>
  </si>
  <si>
    <t xml:space="preserve">                                                                                                                               </t>
  </si>
  <si>
    <t>سنجل ليكرا ممشط 30</t>
  </si>
  <si>
    <t>5-1-2026</t>
  </si>
  <si>
    <t>ليجن قطن - شعيرات</t>
  </si>
  <si>
    <t>كموني</t>
  </si>
  <si>
    <t>13/1/2026</t>
  </si>
  <si>
    <t>مينت</t>
  </si>
  <si>
    <t xml:space="preserve">لايك قطن 30/1 ليكرا </t>
  </si>
  <si>
    <t>18-2-2026</t>
  </si>
  <si>
    <t>2B</t>
  </si>
  <si>
    <t>محمد أبو الغرباوي</t>
  </si>
  <si>
    <t>بيبي روز</t>
  </si>
  <si>
    <t>بيبي بلو</t>
  </si>
  <si>
    <t>برجندي</t>
  </si>
  <si>
    <t>بيج فاتح</t>
  </si>
  <si>
    <t>أحمر</t>
  </si>
  <si>
    <t xml:space="preserve">فوشيا </t>
  </si>
  <si>
    <t>تفاحي</t>
  </si>
  <si>
    <t>22/2/2026</t>
  </si>
  <si>
    <t>نور الدين الجمل</t>
  </si>
  <si>
    <t>بيكا سبن 30/1</t>
  </si>
  <si>
    <t>برتقالي</t>
  </si>
  <si>
    <t>110 جم</t>
  </si>
  <si>
    <t>260 سم</t>
  </si>
  <si>
    <t>ميلتون شانية 25% - 70 - مخلوط</t>
  </si>
  <si>
    <t>غسيل</t>
  </si>
  <si>
    <t>173 جم</t>
  </si>
  <si>
    <t>270 سم</t>
  </si>
  <si>
    <t>ميلتون سبن - 70 - سبن</t>
  </si>
  <si>
    <t>ميلتون شانية 40% - 70 - ش اسود</t>
  </si>
  <si>
    <t>لياقات سبن</t>
  </si>
  <si>
    <t xml:space="preserve">38 سم </t>
  </si>
  <si>
    <t>9 سم</t>
  </si>
  <si>
    <t>الاشرم هاي اون</t>
  </si>
  <si>
    <t>تيك فلز شروال شانيه2%</t>
  </si>
  <si>
    <t>ابو حمزة</t>
  </si>
  <si>
    <t>ميلتون شروال ديجونال</t>
  </si>
  <si>
    <t>تيك فليز مخلوط * بوليستر</t>
  </si>
  <si>
    <t>تيك فلز شروال قطن</t>
  </si>
  <si>
    <t>شركة الشروق</t>
  </si>
  <si>
    <t>علاء عاشور</t>
  </si>
  <si>
    <t>شعيرات 100 طباعة</t>
  </si>
  <si>
    <t>العالميه</t>
  </si>
  <si>
    <t>8\3\2026</t>
  </si>
  <si>
    <t>لافندر</t>
  </si>
  <si>
    <t>بيبى بلو</t>
  </si>
  <si>
    <t>سيمون</t>
  </si>
  <si>
    <t>برسولا ممشط 24\1</t>
  </si>
  <si>
    <t>زيتى</t>
  </si>
  <si>
    <t>سم 90</t>
  </si>
  <si>
    <t>سم 180</t>
  </si>
  <si>
    <t>سم90</t>
  </si>
  <si>
    <t>انترلوك قطن ...وريب</t>
  </si>
  <si>
    <t>انترلوك قطن..ريب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</si>
</sst>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ج_._م_._‏_-;\-* #,##0.00\ _ج_._م_._‏_-;_-* &quot;-&quot;??\ _ج_._م_._‏_-;_-@_-"/>
    <numFmt numFmtId="165" formatCode="_-* #,##0.0_-;\-* #,##0.0_-;_-* &quot;-&quot;??_-;_-@_-"/>
  </numFmts>
  <fonts count="9" x14ac:knownFonts="1">
    <font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8"/>
      <color rgb="FFFF0000"/>
      <name val="Arial"/>
      <family val="2"/>
      <scheme val="minor"/>
    </font>
    <font>
      <sz val="8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2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43" fontId="1" fillId="4" borderId="1" xfId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2" fontId="1" fillId="4" borderId="5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2" fontId="1" fillId="4" borderId="7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2" fontId="1" fillId="0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9" fontId="8" fillId="3" borderId="5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1" fillId="4" borderId="5" xfId="1" applyNumberFormat="1" applyFont="1" applyFill="1" applyBorder="1" applyAlignment="1">
      <alignment horizontal="center" vertical="center"/>
    </xf>
    <xf numFmtId="165" fontId="1" fillId="4" borderId="7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3D9ED35-5173-4608-A272-EEBA96B662FD}">
  <we:reference id="wa104380955" version="3.16.2.1" store="ar-SA" storeType="OMEX"/>
  <we:alternateReferences>
    <we:reference id="WA104380955" version="3.16.2.1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9B2D909-5C22-4331-B7D8-62E8EB86E8CA}">
  <we:reference id="wa200005502" version="1.0.0.11" store="ar-SA" storeType="OMEX"/>
  <we:alternateReferences>
    <we:reference id="WA200005502" version="1.0.0.11" store="" storeType="OMEX"/>
  </we:alternateReferences>
  <we:properties>
    <we:property name="docId" value="&quot;YSBTNQ7liTiLTFoySV_j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95"/>
  <sheetViews>
    <sheetView rightToLeft="1" tabSelected="1" topLeftCell="A576" zoomScale="62" zoomScaleNormal="60" workbookViewId="0">
      <selection activeCell="A594" sqref="A594"/>
    </sheetView>
  </sheetViews>
  <sheetFormatPr defaultColWidth="13.75" defaultRowHeight="36.75" customHeight="1" x14ac:dyDescent="0.3"/>
  <cols>
    <col min="1" max="1" width="13.83203125" style="1" bestFit="1" customWidth="1"/>
    <col min="2" max="2" width="14.08203125" style="1" bestFit="1" customWidth="1"/>
    <col min="3" max="3" width="17" style="1" customWidth="1"/>
    <col min="4" max="4" width="15.33203125" style="1" bestFit="1" customWidth="1"/>
    <col min="5" max="5" width="33.25" style="1" customWidth="1"/>
    <col min="6" max="6" width="17.58203125" style="1" bestFit="1" customWidth="1"/>
    <col min="7" max="7" width="14" style="1" bestFit="1" customWidth="1"/>
    <col min="8" max="8" width="18.6640625" style="1" customWidth="1"/>
    <col min="9" max="9" width="20.4140625" style="1" customWidth="1"/>
    <col min="10" max="10" width="27.6640625" style="1" bestFit="1" customWidth="1"/>
    <col min="11" max="11" width="18.58203125" style="1" bestFit="1" customWidth="1"/>
    <col min="12" max="12" width="27.4140625" style="1" bestFit="1" customWidth="1"/>
    <col min="13" max="13" width="26.58203125" style="1" bestFit="1" customWidth="1"/>
    <col min="14" max="14" width="25.9140625" style="1" bestFit="1" customWidth="1"/>
    <col min="15" max="15" width="29.6640625" style="1" bestFit="1" customWidth="1"/>
    <col min="16" max="16" width="11.4140625" style="1" bestFit="1" customWidth="1"/>
    <col min="17" max="17" width="13.75" style="1"/>
    <col min="18" max="18" width="9" style="1" bestFit="1" customWidth="1"/>
    <col min="19" max="19" width="14.33203125" style="1" bestFit="1" customWidth="1"/>
    <col min="20" max="20" width="9.25" style="1" bestFit="1" customWidth="1"/>
    <col min="21" max="21" width="9.6640625" style="1" bestFit="1" customWidth="1"/>
    <col min="22" max="22" width="27" style="1" bestFit="1" customWidth="1"/>
    <col min="23" max="23" width="13" style="1" bestFit="1" customWidth="1"/>
    <col min="24" max="24" width="10.08203125" style="1" bestFit="1" customWidth="1"/>
    <col min="25" max="26" width="15" style="1" bestFit="1" customWidth="1"/>
    <col min="27" max="27" width="18.75" style="1" bestFit="1" customWidth="1"/>
    <col min="28" max="28" width="13.4140625" style="1" bestFit="1" customWidth="1"/>
    <col min="29" max="29" width="18.58203125" style="1" bestFit="1" customWidth="1"/>
    <col min="30" max="30" width="17.6640625" style="1" bestFit="1" customWidth="1"/>
    <col min="31" max="31" width="17" style="1" bestFit="1" customWidth="1"/>
    <col min="32" max="32" width="20.75" style="1" bestFit="1" customWidth="1"/>
    <col min="33" max="33" width="11.4140625" style="1" bestFit="1" customWidth="1"/>
    <col min="34" max="16384" width="13.75" style="1"/>
  </cols>
  <sheetData>
    <row r="1" spans="1:16" ht="36.75" customHeight="1" thickTop="1" thickBot="1" x14ac:dyDescent="0.35">
      <c r="A1" s="88" t="s">
        <v>48</v>
      </c>
      <c r="B1" s="88" t="s">
        <v>1</v>
      </c>
      <c r="C1" s="88" t="s">
        <v>0</v>
      </c>
      <c r="D1" s="89" t="s">
        <v>2</v>
      </c>
      <c r="E1" s="88" t="s">
        <v>3</v>
      </c>
      <c r="F1" s="88" t="s">
        <v>11</v>
      </c>
      <c r="G1" s="88" t="s">
        <v>4</v>
      </c>
      <c r="H1" s="88" t="s">
        <v>15</v>
      </c>
      <c r="I1" s="88" t="s">
        <v>16</v>
      </c>
      <c r="J1" s="88" t="s">
        <v>56</v>
      </c>
      <c r="K1" s="88" t="s">
        <v>12</v>
      </c>
      <c r="L1" s="88" t="s">
        <v>13</v>
      </c>
      <c r="M1" s="88" t="s">
        <v>101</v>
      </c>
      <c r="N1" s="88" t="s">
        <v>100</v>
      </c>
      <c r="O1" s="88" t="s">
        <v>102</v>
      </c>
      <c r="P1" s="88" t="s">
        <v>5</v>
      </c>
    </row>
    <row r="2" spans="1:16" ht="24.65" customHeight="1" thickTop="1" thickBot="1" x14ac:dyDescent="0.35">
      <c r="A2" s="40" t="s">
        <v>48</v>
      </c>
      <c r="B2" s="171" t="s">
        <v>8</v>
      </c>
      <c r="C2" s="171" t="s">
        <v>6</v>
      </c>
      <c r="D2" s="172" t="s">
        <v>7</v>
      </c>
      <c r="E2" s="171" t="s">
        <v>9</v>
      </c>
      <c r="F2" s="41" t="s">
        <v>17</v>
      </c>
      <c r="G2" s="41">
        <v>6000</v>
      </c>
      <c r="H2" s="41" t="s">
        <v>18</v>
      </c>
      <c r="I2" s="41" t="s">
        <v>19</v>
      </c>
      <c r="J2" s="171">
        <f>(K2-(K2*I12))-L12</f>
        <v>55.503999999997177</v>
      </c>
      <c r="K2" s="160">
        <v>20425.8</v>
      </c>
      <c r="L2" s="41">
        <f>4924.45+354</f>
        <v>5278.45</v>
      </c>
      <c r="M2" s="41"/>
      <c r="N2" s="41"/>
      <c r="O2" s="41">
        <f>(G2-(G2*I12))-L2</f>
        <v>1.5500000000001819</v>
      </c>
      <c r="P2" s="193" t="s">
        <v>57</v>
      </c>
    </row>
    <row r="3" spans="1:16" ht="24.65" customHeight="1" thickTop="1" thickBot="1" x14ac:dyDescent="0.35">
      <c r="A3" s="7" t="str">
        <f>A2</f>
        <v>تسليم</v>
      </c>
      <c r="B3" s="194"/>
      <c r="C3" s="194"/>
      <c r="D3" s="182"/>
      <c r="E3" s="194"/>
      <c r="F3" s="6" t="s">
        <v>20</v>
      </c>
      <c r="G3" s="6">
        <v>3000</v>
      </c>
      <c r="H3" s="6" t="s">
        <v>18</v>
      </c>
      <c r="I3" s="6" t="s">
        <v>19</v>
      </c>
      <c r="J3" s="194"/>
      <c r="K3" s="179"/>
      <c r="L3" s="6">
        <f>2464.7</f>
        <v>2464.6999999999998</v>
      </c>
      <c r="M3" s="6"/>
      <c r="N3" s="6"/>
      <c r="O3" s="6">
        <f>(G3-(G3*I12))-L3</f>
        <v>175.30000000000018</v>
      </c>
      <c r="P3" s="175"/>
    </row>
    <row r="4" spans="1:16" ht="24" thickTop="1" thickBot="1" x14ac:dyDescent="0.35">
      <c r="A4" s="7" t="str">
        <f t="shared" ref="A4:A12" si="0">A3</f>
        <v>تسليم</v>
      </c>
      <c r="B4" s="194"/>
      <c r="C4" s="194"/>
      <c r="D4" s="182"/>
      <c r="E4" s="194"/>
      <c r="F4" s="6" t="s">
        <v>21</v>
      </c>
      <c r="G4" s="6">
        <v>3000</v>
      </c>
      <c r="H4" s="6" t="s">
        <v>18</v>
      </c>
      <c r="I4" s="6" t="s">
        <v>19</v>
      </c>
      <c r="J4" s="194"/>
      <c r="K4" s="179"/>
      <c r="L4" s="6">
        <f>2670.05</f>
        <v>2670.05</v>
      </c>
      <c r="M4" s="6"/>
      <c r="N4" s="6"/>
      <c r="O4" s="6">
        <f>(G4-(G4*I12))-L4</f>
        <v>-30.050000000000182</v>
      </c>
      <c r="P4" s="175"/>
    </row>
    <row r="5" spans="1:16" ht="24" thickTop="1" thickBot="1" x14ac:dyDescent="0.35">
      <c r="A5" s="7" t="str">
        <f t="shared" si="0"/>
        <v>تسليم</v>
      </c>
      <c r="B5" s="194"/>
      <c r="C5" s="194"/>
      <c r="D5" s="182"/>
      <c r="E5" s="194"/>
      <c r="F5" s="6" t="s">
        <v>22</v>
      </c>
      <c r="G5" s="6">
        <v>3000</v>
      </c>
      <c r="H5" s="6" t="s">
        <v>18</v>
      </c>
      <c r="I5" s="6" t="s">
        <v>19</v>
      </c>
      <c r="J5" s="194"/>
      <c r="K5" s="179"/>
      <c r="L5" s="6">
        <f>2639.55</f>
        <v>2639.55</v>
      </c>
      <c r="M5" s="6"/>
      <c r="N5" s="6"/>
      <c r="O5" s="6">
        <f>(G5-(G5*I12))-L5</f>
        <v>0.4499999999998181</v>
      </c>
      <c r="P5" s="175"/>
    </row>
    <row r="6" spans="1:16" ht="24" thickTop="1" thickBot="1" x14ac:dyDescent="0.35">
      <c r="A6" s="7" t="str">
        <f t="shared" si="0"/>
        <v>تسليم</v>
      </c>
      <c r="B6" s="194"/>
      <c r="C6" s="194"/>
      <c r="D6" s="182"/>
      <c r="E6" s="194"/>
      <c r="F6" s="6" t="s">
        <v>23</v>
      </c>
      <c r="G6" s="6">
        <v>1500</v>
      </c>
      <c r="H6" s="6" t="s">
        <v>18</v>
      </c>
      <c r="I6" s="6" t="s">
        <v>19</v>
      </c>
      <c r="J6" s="194"/>
      <c r="K6" s="179"/>
      <c r="L6" s="6">
        <v>1301.45</v>
      </c>
      <c r="M6" s="6"/>
      <c r="N6" s="6"/>
      <c r="O6" s="6">
        <f>(G6-(G6*I12))-L6</f>
        <v>18.549999999999955</v>
      </c>
      <c r="P6" s="175"/>
    </row>
    <row r="7" spans="1:16" ht="24" thickTop="1" thickBot="1" x14ac:dyDescent="0.35">
      <c r="A7" s="7" t="str">
        <f t="shared" si="0"/>
        <v>تسليم</v>
      </c>
      <c r="B7" s="194"/>
      <c r="C7" s="194"/>
      <c r="D7" s="182"/>
      <c r="E7" s="194"/>
      <c r="F7" s="6" t="s">
        <v>24</v>
      </c>
      <c r="G7" s="6">
        <v>1500</v>
      </c>
      <c r="H7" s="6" t="s">
        <v>18</v>
      </c>
      <c r="I7" s="6" t="s">
        <v>19</v>
      </c>
      <c r="J7" s="194"/>
      <c r="K7" s="179"/>
      <c r="L7" s="6">
        <f>1332.6</f>
        <v>1332.6</v>
      </c>
      <c r="M7" s="6"/>
      <c r="N7" s="6"/>
      <c r="O7" s="6">
        <f>(G7-(G7*I12))-L7</f>
        <v>-12.599999999999909</v>
      </c>
      <c r="P7" s="175"/>
    </row>
    <row r="8" spans="1:16" ht="24" thickTop="1" thickBot="1" x14ac:dyDescent="0.35">
      <c r="A8" s="7" t="str">
        <f t="shared" si="0"/>
        <v>تسليم</v>
      </c>
      <c r="B8" s="194"/>
      <c r="C8" s="194"/>
      <c r="D8" s="182"/>
      <c r="E8" s="194"/>
      <c r="F8" s="6" t="s">
        <v>25</v>
      </c>
      <c r="G8" s="6">
        <v>1000</v>
      </c>
      <c r="H8" s="6" t="s">
        <v>18</v>
      </c>
      <c r="I8" s="6" t="s">
        <v>19</v>
      </c>
      <c r="J8" s="194"/>
      <c r="K8" s="179"/>
      <c r="L8" s="6">
        <v>885.7</v>
      </c>
      <c r="M8" s="6"/>
      <c r="N8" s="6"/>
      <c r="O8" s="6">
        <f>(G8-(G8*I12))-L8</f>
        <v>-5.7000000000000455</v>
      </c>
      <c r="P8" s="175"/>
    </row>
    <row r="9" spans="1:16" ht="24" thickTop="1" thickBot="1" x14ac:dyDescent="0.35">
      <c r="A9" s="7" t="str">
        <f t="shared" si="0"/>
        <v>تسليم</v>
      </c>
      <c r="B9" s="194"/>
      <c r="C9" s="194"/>
      <c r="D9" s="182"/>
      <c r="E9" s="194"/>
      <c r="F9" s="6" t="s">
        <v>26</v>
      </c>
      <c r="G9" s="6">
        <v>500</v>
      </c>
      <c r="H9" s="6" t="s">
        <v>18</v>
      </c>
      <c r="I9" s="6" t="s">
        <v>19</v>
      </c>
      <c r="J9" s="194"/>
      <c r="K9" s="179"/>
      <c r="L9" s="6">
        <f>446.8</f>
        <v>446.8</v>
      </c>
      <c r="M9" s="6"/>
      <c r="N9" s="6"/>
      <c r="O9" s="6">
        <f>(G9-(G9*I12))-L9</f>
        <v>-6.8000000000000114</v>
      </c>
      <c r="P9" s="175"/>
    </row>
    <row r="10" spans="1:16" ht="24" thickTop="1" thickBot="1" x14ac:dyDescent="0.35">
      <c r="A10" s="7" t="str">
        <f t="shared" si="0"/>
        <v>تسليم</v>
      </c>
      <c r="B10" s="194"/>
      <c r="C10" s="194"/>
      <c r="D10" s="182"/>
      <c r="E10" s="194"/>
      <c r="F10" s="6" t="s">
        <v>27</v>
      </c>
      <c r="G10" s="6">
        <v>500</v>
      </c>
      <c r="H10" s="6" t="s">
        <v>18</v>
      </c>
      <c r="I10" s="6" t="s">
        <v>19</v>
      </c>
      <c r="J10" s="194"/>
      <c r="K10" s="179"/>
      <c r="L10" s="6">
        <f>438</f>
        <v>438</v>
      </c>
      <c r="M10" s="6"/>
      <c r="N10" s="6"/>
      <c r="O10" s="6">
        <f>(G10-(G10*I12))-L10</f>
        <v>2</v>
      </c>
      <c r="P10" s="175"/>
    </row>
    <row r="11" spans="1:16" ht="24" thickTop="1" thickBot="1" x14ac:dyDescent="0.35">
      <c r="A11" s="7" t="str">
        <f t="shared" si="0"/>
        <v>تسليم</v>
      </c>
      <c r="B11" s="194"/>
      <c r="C11" s="194"/>
      <c r="D11" s="182"/>
      <c r="E11" s="194"/>
      <c r="F11" s="6" t="s">
        <v>28</v>
      </c>
      <c r="G11" s="6">
        <v>500</v>
      </c>
      <c r="H11" s="6" t="s">
        <v>18</v>
      </c>
      <c r="I11" s="6" t="s">
        <v>19</v>
      </c>
      <c r="J11" s="194"/>
      <c r="K11" s="179"/>
      <c r="L11" s="6">
        <f>461.9</f>
        <v>461.9</v>
      </c>
      <c r="M11" s="6"/>
      <c r="N11" s="6"/>
      <c r="O11" s="6">
        <f>(G11-(G11*I12))-L11</f>
        <v>-21.899999999999977</v>
      </c>
      <c r="P11" s="175"/>
    </row>
    <row r="12" spans="1:16" ht="24" thickTop="1" thickBot="1" x14ac:dyDescent="0.35">
      <c r="A12" s="7" t="str">
        <f t="shared" si="0"/>
        <v>تسليم</v>
      </c>
      <c r="B12" s="179" t="s">
        <v>29</v>
      </c>
      <c r="C12" s="179"/>
      <c r="D12" s="179"/>
      <c r="E12" s="179"/>
      <c r="F12" s="179"/>
      <c r="G12" s="6">
        <f>SUM(G2:G11)</f>
        <v>20500</v>
      </c>
      <c r="H12" s="2" t="s">
        <v>30</v>
      </c>
      <c r="I12" s="3">
        <v>0.12</v>
      </c>
      <c r="J12" s="194"/>
      <c r="K12" s="179"/>
      <c r="L12" s="6">
        <f>SUM(L2:L11)</f>
        <v>17919.2</v>
      </c>
      <c r="M12" s="6"/>
      <c r="N12" s="6"/>
      <c r="O12" s="6">
        <f>SUM(O2:O11)</f>
        <v>120.80000000000001</v>
      </c>
      <c r="P12" s="175"/>
    </row>
    <row r="13" spans="1:16" ht="36.75" customHeight="1" thickTop="1" thickBot="1" x14ac:dyDescent="0.35">
      <c r="A13" s="4" t="s">
        <v>48</v>
      </c>
      <c r="B13" s="4" t="s">
        <v>0</v>
      </c>
      <c r="C13" s="4" t="s">
        <v>1</v>
      </c>
      <c r="D13" s="5" t="s">
        <v>2</v>
      </c>
      <c r="E13" s="4" t="s">
        <v>3</v>
      </c>
      <c r="F13" s="4" t="s">
        <v>11</v>
      </c>
      <c r="G13" s="4" t="s">
        <v>4</v>
      </c>
      <c r="H13" s="4" t="s">
        <v>16</v>
      </c>
      <c r="I13" s="4" t="s">
        <v>15</v>
      </c>
      <c r="J13" s="21" t="s">
        <v>56</v>
      </c>
      <c r="K13" s="21" t="s">
        <v>12</v>
      </c>
      <c r="L13" s="21" t="s">
        <v>13</v>
      </c>
      <c r="M13" s="21" t="s">
        <v>101</v>
      </c>
      <c r="N13" s="21" t="s">
        <v>100</v>
      </c>
      <c r="O13" s="21" t="s">
        <v>102</v>
      </c>
      <c r="P13" s="4" t="s">
        <v>5</v>
      </c>
    </row>
    <row r="14" spans="1:16" ht="36.75" customHeight="1" thickTop="1" thickBot="1" x14ac:dyDescent="0.35">
      <c r="A14" s="11" t="s">
        <v>48</v>
      </c>
      <c r="B14" s="210">
        <v>45923</v>
      </c>
      <c r="C14" s="202" t="s">
        <v>31</v>
      </c>
      <c r="D14" s="211" t="s">
        <v>47</v>
      </c>
      <c r="E14" s="202" t="s">
        <v>9</v>
      </c>
      <c r="F14" s="12" t="s">
        <v>17</v>
      </c>
      <c r="G14" s="11">
        <v>400</v>
      </c>
      <c r="H14" s="12" t="s">
        <v>34</v>
      </c>
      <c r="I14" s="12" t="s">
        <v>33</v>
      </c>
      <c r="J14" s="208">
        <f>(K14-(K14*I18))-L18</f>
        <v>2.6600000000000819</v>
      </c>
      <c r="K14" s="199">
        <v>1696</v>
      </c>
      <c r="L14" s="12">
        <f>367.9</f>
        <v>367.9</v>
      </c>
      <c r="M14" s="12">
        <v>367.9</v>
      </c>
      <c r="N14" s="12">
        <f>L14-M14</f>
        <v>0</v>
      </c>
      <c r="O14" s="12">
        <f>(G14-(G14*I18))-L14</f>
        <v>-3.8999999999999773</v>
      </c>
      <c r="P14" s="209" t="s">
        <v>10</v>
      </c>
    </row>
    <row r="15" spans="1:16" ht="36.75" customHeight="1" thickTop="1" thickBot="1" x14ac:dyDescent="0.35">
      <c r="A15" s="11" t="str">
        <f>A14</f>
        <v>تسليم</v>
      </c>
      <c r="B15" s="202"/>
      <c r="C15" s="202"/>
      <c r="D15" s="211"/>
      <c r="E15" s="202"/>
      <c r="F15" s="12" t="s">
        <v>50</v>
      </c>
      <c r="G15" s="11">
        <v>400</v>
      </c>
      <c r="H15" s="12" t="str">
        <f>H14</f>
        <v>220 جرام</v>
      </c>
      <c r="I15" s="12" t="str">
        <f>I14</f>
        <v>95 سم</v>
      </c>
      <c r="J15" s="208"/>
      <c r="K15" s="199"/>
      <c r="L15" s="12">
        <f>401.2</f>
        <v>401.2</v>
      </c>
      <c r="M15" s="12">
        <v>401.2</v>
      </c>
      <c r="N15" s="12">
        <f>L15-M15</f>
        <v>0</v>
      </c>
      <c r="O15" s="12">
        <f>(G15-(G15*I18))-L15</f>
        <v>-37.199999999999989</v>
      </c>
      <c r="P15" s="209"/>
    </row>
    <row r="16" spans="1:16" ht="36.75" customHeight="1" thickTop="1" thickBot="1" x14ac:dyDescent="0.35">
      <c r="A16" s="11" t="str">
        <f t="shared" ref="A16:A17" si="1">A15</f>
        <v>تسليم</v>
      </c>
      <c r="B16" s="202"/>
      <c r="C16" s="202"/>
      <c r="D16" s="211"/>
      <c r="E16" s="202"/>
      <c r="F16" s="12" t="s">
        <v>21</v>
      </c>
      <c r="G16" s="11">
        <v>400</v>
      </c>
      <c r="H16" s="12" t="str">
        <f>H15</f>
        <v>220 جرام</v>
      </c>
      <c r="I16" s="12" t="str">
        <f t="shared" ref="I16:I17" si="2">I15</f>
        <v>95 سم</v>
      </c>
      <c r="J16" s="208"/>
      <c r="K16" s="199"/>
      <c r="L16" s="12">
        <f>390.9</f>
        <v>390.9</v>
      </c>
      <c r="M16" s="12">
        <v>390.9</v>
      </c>
      <c r="N16" s="12">
        <f>L16-M16</f>
        <v>0</v>
      </c>
      <c r="O16" s="12">
        <f>(G16-(G16*I18))-L16</f>
        <v>-26.899999999999977</v>
      </c>
      <c r="P16" s="209"/>
    </row>
    <row r="17" spans="1:16" ht="36.75" customHeight="1" thickTop="1" thickBot="1" x14ac:dyDescent="0.35">
      <c r="A17" s="11" t="str">
        <f t="shared" si="1"/>
        <v>تسليم</v>
      </c>
      <c r="B17" s="202"/>
      <c r="C17" s="202"/>
      <c r="D17" s="211"/>
      <c r="E17" s="202"/>
      <c r="F17" s="12" t="s">
        <v>53</v>
      </c>
      <c r="G17" s="11">
        <v>400</v>
      </c>
      <c r="H17" s="12" t="str">
        <f>H16</f>
        <v>220 جرام</v>
      </c>
      <c r="I17" s="12" t="str">
        <f t="shared" si="2"/>
        <v>95 سم</v>
      </c>
      <c r="J17" s="208"/>
      <c r="K17" s="199"/>
      <c r="L17" s="12">
        <f>380.7</f>
        <v>380.7</v>
      </c>
      <c r="M17" s="12">
        <v>380.7</v>
      </c>
      <c r="N17" s="12">
        <f>L17-M17</f>
        <v>0</v>
      </c>
      <c r="O17" s="12">
        <f>(G17-(G17*I18))-L17</f>
        <v>-16.699999999999989</v>
      </c>
      <c r="P17" s="209"/>
    </row>
    <row r="18" spans="1:16" ht="36.75" customHeight="1" thickTop="1" thickBot="1" x14ac:dyDescent="0.35">
      <c r="A18" s="12" t="str">
        <f>A14</f>
        <v>تسليم</v>
      </c>
      <c r="B18" s="199" t="s">
        <v>29</v>
      </c>
      <c r="C18" s="199"/>
      <c r="D18" s="199"/>
      <c r="E18" s="199"/>
      <c r="F18" s="199"/>
      <c r="G18" s="12">
        <f>SUM(G14:G17)</f>
        <v>1600</v>
      </c>
      <c r="H18" s="18" t="s">
        <v>30</v>
      </c>
      <c r="I18" s="19">
        <v>0.09</v>
      </c>
      <c r="J18" s="208"/>
      <c r="K18" s="199"/>
      <c r="L18" s="12">
        <f>SUM(L14:L17)</f>
        <v>1540.7</v>
      </c>
      <c r="M18" s="12">
        <f>SUBTOTAL(9,M14:M17)</f>
        <v>1540.7</v>
      </c>
      <c r="N18" s="12">
        <f>SUBTOTAL(9,N14:N17)</f>
        <v>0</v>
      </c>
      <c r="O18" s="12">
        <f>SUM(O14:O17)</f>
        <v>-84.699999999999932</v>
      </c>
      <c r="P18" s="209"/>
    </row>
    <row r="19" spans="1:16" ht="36.75" customHeight="1" thickTop="1" thickBot="1" x14ac:dyDescent="0.35">
      <c r="A19" s="4" t="s">
        <v>48</v>
      </c>
      <c r="B19" s="4" t="s">
        <v>0</v>
      </c>
      <c r="C19" s="4" t="s">
        <v>1</v>
      </c>
      <c r="D19" s="5" t="s">
        <v>2</v>
      </c>
      <c r="E19" s="4" t="s">
        <v>3</v>
      </c>
      <c r="F19" s="4" t="s">
        <v>11</v>
      </c>
      <c r="G19" s="4" t="s">
        <v>4</v>
      </c>
      <c r="H19" s="4" t="s">
        <v>15</v>
      </c>
      <c r="I19" s="4" t="s">
        <v>16</v>
      </c>
      <c r="J19" s="21" t="s">
        <v>56</v>
      </c>
      <c r="K19" s="21" t="s">
        <v>12</v>
      </c>
      <c r="L19" s="21" t="s">
        <v>13</v>
      </c>
      <c r="M19" s="21" t="s">
        <v>101</v>
      </c>
      <c r="N19" s="21" t="s">
        <v>100</v>
      </c>
      <c r="O19" s="21" t="s">
        <v>102</v>
      </c>
      <c r="P19" s="4" t="s">
        <v>5</v>
      </c>
    </row>
    <row r="20" spans="1:16" ht="36.75" customHeight="1" thickTop="1" thickBot="1" x14ac:dyDescent="0.35">
      <c r="A20" s="11" t="s">
        <v>48</v>
      </c>
      <c r="B20" s="50">
        <v>45923</v>
      </c>
      <c r="C20" s="11" t="s">
        <v>35</v>
      </c>
      <c r="D20" s="51" t="s">
        <v>7</v>
      </c>
      <c r="E20" s="11" t="s">
        <v>36</v>
      </c>
      <c r="F20" s="12" t="s">
        <v>17</v>
      </c>
      <c r="G20" s="11">
        <v>500</v>
      </c>
      <c r="H20" s="12" t="s">
        <v>37</v>
      </c>
      <c r="I20" s="12" t="s">
        <v>38</v>
      </c>
      <c r="J20" s="208">
        <f>(K20-(K20*I21))-L21</f>
        <v>0.5180000000000291</v>
      </c>
      <c r="K20" s="199">
        <v>455.6</v>
      </c>
      <c r="L20" s="12">
        <v>411.8</v>
      </c>
      <c r="M20" s="12">
        <f>200.5+211</f>
        <v>411.5</v>
      </c>
      <c r="N20" s="12">
        <f>L20-M20</f>
        <v>0.30000000000001137</v>
      </c>
      <c r="O20" s="14">
        <f>(G20-(G20*I21))-L20</f>
        <v>40.699999999999989</v>
      </c>
      <c r="P20" s="209" t="s">
        <v>10</v>
      </c>
    </row>
    <row r="21" spans="1:16" ht="36.75" customHeight="1" thickTop="1" thickBot="1" x14ac:dyDescent="0.35">
      <c r="A21" s="12" t="str">
        <f>A20</f>
        <v>تسليم</v>
      </c>
      <c r="B21" s="199" t="s">
        <v>29</v>
      </c>
      <c r="C21" s="199"/>
      <c r="D21" s="199"/>
      <c r="E21" s="199"/>
      <c r="F21" s="199"/>
      <c r="G21" s="12">
        <f>SUM(G20)</f>
        <v>500</v>
      </c>
      <c r="H21" s="18" t="s">
        <v>30</v>
      </c>
      <c r="I21" s="19">
        <v>9.5000000000000001E-2</v>
      </c>
      <c r="J21" s="208"/>
      <c r="K21" s="199"/>
      <c r="L21" s="12">
        <f>SUM(L20:L20)</f>
        <v>411.8</v>
      </c>
      <c r="M21" s="12">
        <f>SUBTOTAL(9,M20)</f>
        <v>411.5</v>
      </c>
      <c r="N21" s="12">
        <f>SUBTOTAL(9,N20)</f>
        <v>0.30000000000001137</v>
      </c>
      <c r="O21" s="12">
        <f>SUM(O20:O20)</f>
        <v>40.699999999999989</v>
      </c>
      <c r="P21" s="209"/>
    </row>
    <row r="22" spans="1:16" ht="36.75" customHeight="1" thickTop="1" thickBot="1" x14ac:dyDescent="0.35">
      <c r="A22" s="4" t="s">
        <v>48</v>
      </c>
      <c r="B22" s="4" t="s">
        <v>0</v>
      </c>
      <c r="C22" s="4" t="s">
        <v>1</v>
      </c>
      <c r="D22" s="5" t="s">
        <v>2</v>
      </c>
      <c r="E22" s="4" t="s">
        <v>3</v>
      </c>
      <c r="F22" s="4" t="s">
        <v>11</v>
      </c>
      <c r="G22" s="4" t="s">
        <v>4</v>
      </c>
      <c r="H22" s="4" t="s">
        <v>15</v>
      </c>
      <c r="I22" s="4" t="s">
        <v>16</v>
      </c>
      <c r="J22" s="21" t="s">
        <v>56</v>
      </c>
      <c r="K22" s="21" t="s">
        <v>12</v>
      </c>
      <c r="L22" s="21" t="s">
        <v>13</v>
      </c>
      <c r="M22" s="21" t="s">
        <v>101</v>
      </c>
      <c r="N22" s="21" t="s">
        <v>100</v>
      </c>
      <c r="O22" s="21" t="s">
        <v>102</v>
      </c>
      <c r="P22" s="4" t="s">
        <v>5</v>
      </c>
    </row>
    <row r="23" spans="1:16" ht="36.75" customHeight="1" thickTop="1" thickBot="1" x14ac:dyDescent="0.35">
      <c r="A23" s="11" t="s">
        <v>48</v>
      </c>
      <c r="B23" s="50">
        <v>45923</v>
      </c>
      <c r="C23" s="11" t="s">
        <v>35</v>
      </c>
      <c r="D23" s="51" t="s">
        <v>7</v>
      </c>
      <c r="E23" s="11" t="s">
        <v>36</v>
      </c>
      <c r="F23" s="12" t="s">
        <v>21</v>
      </c>
      <c r="G23" s="11">
        <v>100</v>
      </c>
      <c r="H23" s="12" t="s">
        <v>37</v>
      </c>
      <c r="I23" s="12" t="s">
        <v>38</v>
      </c>
      <c r="J23" s="208">
        <f>(K23-(K23*I24))-L24</f>
        <v>18.399999999999991</v>
      </c>
      <c r="K23" s="199">
        <v>110.6</v>
      </c>
      <c r="L23" s="12">
        <v>92.2</v>
      </c>
      <c r="M23" s="12">
        <v>92.2</v>
      </c>
      <c r="N23" s="12">
        <f>L23-M23</f>
        <v>0</v>
      </c>
      <c r="O23" s="14">
        <f>(G23-(G23*I24))-L23</f>
        <v>7.7999999999999972</v>
      </c>
      <c r="P23" s="209" t="s">
        <v>10</v>
      </c>
    </row>
    <row r="24" spans="1:16" ht="36.75" customHeight="1" thickTop="1" thickBot="1" x14ac:dyDescent="0.35">
      <c r="A24" s="12" t="str">
        <f>A23</f>
        <v>تسليم</v>
      </c>
      <c r="B24" s="199" t="s">
        <v>29</v>
      </c>
      <c r="C24" s="199"/>
      <c r="D24" s="199"/>
      <c r="E24" s="199"/>
      <c r="F24" s="199"/>
      <c r="G24" s="12">
        <f>SUM(G23)</f>
        <v>100</v>
      </c>
      <c r="H24" s="18" t="s">
        <v>30</v>
      </c>
      <c r="I24" s="19">
        <v>0</v>
      </c>
      <c r="J24" s="208"/>
      <c r="K24" s="199"/>
      <c r="L24" s="12">
        <f>SUM(L23:L23)</f>
        <v>92.2</v>
      </c>
      <c r="M24" s="12">
        <f>SUBTOTAL(9,M23)</f>
        <v>92.2</v>
      </c>
      <c r="N24" s="12">
        <f>SUBTOTAL(9,N23)</f>
        <v>0</v>
      </c>
      <c r="O24" s="12">
        <f>SUM(O23:O23)</f>
        <v>7.7999999999999972</v>
      </c>
      <c r="P24" s="209"/>
    </row>
    <row r="25" spans="1:16" ht="36.75" customHeight="1" thickTop="1" thickBot="1" x14ac:dyDescent="0.35">
      <c r="A25" s="4" t="s">
        <v>48</v>
      </c>
      <c r="B25" s="4" t="s">
        <v>0</v>
      </c>
      <c r="C25" s="4" t="s">
        <v>1</v>
      </c>
      <c r="D25" s="5" t="s">
        <v>2</v>
      </c>
      <c r="E25" s="4" t="s">
        <v>3</v>
      </c>
      <c r="F25" s="4" t="s">
        <v>11</v>
      </c>
      <c r="G25" s="4" t="s">
        <v>4</v>
      </c>
      <c r="H25" s="4" t="s">
        <v>15</v>
      </c>
      <c r="I25" s="4" t="s">
        <v>16</v>
      </c>
      <c r="J25" s="21" t="s">
        <v>56</v>
      </c>
      <c r="K25" s="21" t="s">
        <v>12</v>
      </c>
      <c r="L25" s="21" t="s">
        <v>13</v>
      </c>
      <c r="M25" s="21" t="s">
        <v>101</v>
      </c>
      <c r="N25" s="21" t="s">
        <v>100</v>
      </c>
      <c r="O25" s="21" t="s">
        <v>102</v>
      </c>
      <c r="P25" s="4" t="s">
        <v>5</v>
      </c>
    </row>
    <row r="26" spans="1:16" ht="36.75" customHeight="1" thickTop="1" thickBot="1" x14ac:dyDescent="0.35">
      <c r="A26" s="11" t="s">
        <v>48</v>
      </c>
      <c r="B26" s="50">
        <v>45923</v>
      </c>
      <c r="C26" s="11" t="s">
        <v>35</v>
      </c>
      <c r="D26" s="51" t="s">
        <v>7</v>
      </c>
      <c r="E26" s="11" t="s">
        <v>41</v>
      </c>
      <c r="F26" s="12" t="s">
        <v>39</v>
      </c>
      <c r="G26" s="11">
        <v>100</v>
      </c>
      <c r="H26" s="12" t="s">
        <v>43</v>
      </c>
      <c r="I26" s="12" t="s">
        <v>38</v>
      </c>
      <c r="J26" s="208">
        <f>(K26-(K26*I27))-L27</f>
        <v>9.3000000000000114</v>
      </c>
      <c r="K26" s="199">
        <v>108.4</v>
      </c>
      <c r="L26" s="12">
        <v>99.1</v>
      </c>
      <c r="M26" s="12">
        <f>99.1</f>
        <v>99.1</v>
      </c>
      <c r="N26" s="12">
        <f>L26-M26</f>
        <v>0</v>
      </c>
      <c r="O26" s="14">
        <f>(G26-(G26*I27))-L26</f>
        <v>0.90000000000000568</v>
      </c>
      <c r="P26" s="209" t="s">
        <v>10</v>
      </c>
    </row>
    <row r="27" spans="1:16" ht="36.75" customHeight="1" thickTop="1" thickBot="1" x14ac:dyDescent="0.35">
      <c r="A27" s="12" t="str">
        <f>A26</f>
        <v>تسليم</v>
      </c>
      <c r="B27" s="188" t="s">
        <v>29</v>
      </c>
      <c r="C27" s="189"/>
      <c r="D27" s="189"/>
      <c r="E27" s="189"/>
      <c r="F27" s="190"/>
      <c r="G27" s="12">
        <f>SUM(G26)</f>
        <v>100</v>
      </c>
      <c r="H27" s="18" t="s">
        <v>30</v>
      </c>
      <c r="I27" s="19">
        <v>0</v>
      </c>
      <c r="J27" s="208"/>
      <c r="K27" s="199"/>
      <c r="L27" s="12">
        <f>SUM(L26:L26)</f>
        <v>99.1</v>
      </c>
      <c r="M27" s="12">
        <f>SUBTOTAL(9,M26)</f>
        <v>99.1</v>
      </c>
      <c r="N27" s="12">
        <f>SUBTOTAL(9,N26)</f>
        <v>0</v>
      </c>
      <c r="O27" s="14">
        <f>SUM(O26:O26)</f>
        <v>0.90000000000000568</v>
      </c>
      <c r="P27" s="209"/>
    </row>
    <row r="28" spans="1:16" ht="36.75" customHeight="1" thickTop="1" thickBot="1" x14ac:dyDescent="0.35">
      <c r="A28" s="4" t="s">
        <v>48</v>
      </c>
      <c r="B28" s="4" t="s">
        <v>0</v>
      </c>
      <c r="C28" s="4" t="s">
        <v>1</v>
      </c>
      <c r="D28" s="5" t="s">
        <v>2</v>
      </c>
      <c r="E28" s="4" t="s">
        <v>3</v>
      </c>
      <c r="F28" s="4" t="s">
        <v>11</v>
      </c>
      <c r="G28" s="4" t="s">
        <v>4</v>
      </c>
      <c r="H28" s="4" t="s">
        <v>15</v>
      </c>
      <c r="I28" s="4" t="s">
        <v>16</v>
      </c>
      <c r="J28" s="21" t="s">
        <v>56</v>
      </c>
      <c r="K28" s="21" t="s">
        <v>12</v>
      </c>
      <c r="L28" s="21" t="s">
        <v>13</v>
      </c>
      <c r="M28" s="21" t="s">
        <v>101</v>
      </c>
      <c r="N28" s="21" t="s">
        <v>100</v>
      </c>
      <c r="O28" s="21" t="s">
        <v>102</v>
      </c>
      <c r="P28" s="4" t="s">
        <v>5</v>
      </c>
    </row>
    <row r="29" spans="1:16" ht="36.75" customHeight="1" thickTop="1" thickBot="1" x14ac:dyDescent="0.35">
      <c r="A29" s="7" t="s">
        <v>48</v>
      </c>
      <c r="B29" s="9">
        <v>45923</v>
      </c>
      <c r="C29" s="7" t="s">
        <v>40</v>
      </c>
      <c r="D29" s="10" t="s">
        <v>7</v>
      </c>
      <c r="E29" s="7" t="s">
        <v>42</v>
      </c>
      <c r="F29" s="6" t="s">
        <v>106</v>
      </c>
      <c r="G29" s="7">
        <v>25</v>
      </c>
      <c r="H29" s="6" t="s">
        <v>37</v>
      </c>
      <c r="I29" s="6" t="s">
        <v>113</v>
      </c>
      <c r="J29" s="22">
        <f>(K29-(K29*I30))-L30</f>
        <v>3.1999999999999993</v>
      </c>
      <c r="K29" s="21">
        <v>22.7</v>
      </c>
      <c r="L29" s="21">
        <v>19.5</v>
      </c>
      <c r="M29" s="21">
        <v>6</v>
      </c>
      <c r="N29" s="21">
        <f>L29-M29</f>
        <v>13.5</v>
      </c>
      <c r="O29" s="23">
        <f>(G29-(G29*I30))-L29</f>
        <v>5.5</v>
      </c>
      <c r="P29" s="20" t="s">
        <v>10</v>
      </c>
    </row>
    <row r="30" spans="1:16" ht="36.75" customHeight="1" thickTop="1" thickBot="1" x14ac:dyDescent="0.35">
      <c r="A30" s="6" t="str">
        <f>A29</f>
        <v>تسليم</v>
      </c>
      <c r="B30" s="161" t="s">
        <v>29</v>
      </c>
      <c r="C30" s="162"/>
      <c r="D30" s="162"/>
      <c r="E30" s="162"/>
      <c r="F30" s="163"/>
      <c r="G30" s="6">
        <f>SUM(G29)</f>
        <v>25</v>
      </c>
      <c r="H30" s="2" t="s">
        <v>30</v>
      </c>
      <c r="I30" s="3">
        <v>0</v>
      </c>
      <c r="J30" s="22"/>
      <c r="K30" s="21"/>
      <c r="L30" s="21">
        <f>SUM(L29:L29)</f>
        <v>19.5</v>
      </c>
      <c r="M30" s="21">
        <f>SUBTOTAL(9,M29)</f>
        <v>6</v>
      </c>
      <c r="N30" s="21">
        <f>SUBTOTAL(9,N29)</f>
        <v>13.5</v>
      </c>
      <c r="O30" s="21">
        <f>SUM(O29:O29)</f>
        <v>5.5</v>
      </c>
      <c r="P30" s="20"/>
    </row>
    <row r="31" spans="1:16" ht="36.75" customHeight="1" thickTop="1" thickBot="1" x14ac:dyDescent="0.35">
      <c r="A31" s="4" t="s">
        <v>48</v>
      </c>
      <c r="B31" s="4" t="s">
        <v>0</v>
      </c>
      <c r="C31" s="4" t="s">
        <v>1</v>
      </c>
      <c r="D31" s="5" t="s">
        <v>2</v>
      </c>
      <c r="E31" s="4" t="s">
        <v>3</v>
      </c>
      <c r="F31" s="4" t="s">
        <v>11</v>
      </c>
      <c r="G31" s="4" t="s">
        <v>4</v>
      </c>
      <c r="H31" s="4" t="s">
        <v>15</v>
      </c>
      <c r="I31" s="4" t="s">
        <v>16</v>
      </c>
      <c r="J31" s="21" t="s">
        <v>56</v>
      </c>
      <c r="K31" s="21" t="s">
        <v>12</v>
      </c>
      <c r="L31" s="21" t="s">
        <v>13</v>
      </c>
      <c r="M31" s="21" t="s">
        <v>101</v>
      </c>
      <c r="N31" s="21" t="s">
        <v>100</v>
      </c>
      <c r="O31" s="21" t="s">
        <v>102</v>
      </c>
      <c r="P31" s="4" t="s">
        <v>5</v>
      </c>
    </row>
    <row r="32" spans="1:16" ht="36.75" customHeight="1" thickTop="1" thickBot="1" x14ac:dyDescent="0.35">
      <c r="A32" s="7" t="str">
        <f>A31</f>
        <v>تسليم</v>
      </c>
      <c r="B32" s="164">
        <v>45923</v>
      </c>
      <c r="C32" s="166" t="s">
        <v>108</v>
      </c>
      <c r="D32" s="168" t="s">
        <v>7</v>
      </c>
      <c r="E32" s="7" t="s">
        <v>107</v>
      </c>
      <c r="F32" s="6" t="s">
        <v>17</v>
      </c>
      <c r="G32" s="7">
        <v>25</v>
      </c>
      <c r="H32" s="6" t="s">
        <v>111</v>
      </c>
      <c r="I32" s="6" t="s">
        <v>34</v>
      </c>
      <c r="J32" s="154">
        <f>(K32-(K32*I34))-L34</f>
        <v>7</v>
      </c>
      <c r="K32" s="156">
        <v>22.7</v>
      </c>
      <c r="L32" s="21">
        <v>6.1</v>
      </c>
      <c r="M32" s="21"/>
      <c r="N32" s="21">
        <f>L32-M32</f>
        <v>6.1</v>
      </c>
      <c r="O32" s="23">
        <f>(G32-(G32*I34))-L32</f>
        <v>18.899999999999999</v>
      </c>
      <c r="P32" s="184" t="s">
        <v>10</v>
      </c>
    </row>
    <row r="33" spans="1:16" ht="36.75" customHeight="1" thickTop="1" thickBot="1" x14ac:dyDescent="0.35">
      <c r="A33" s="7" t="str">
        <f>A32</f>
        <v>تسليم</v>
      </c>
      <c r="B33" s="170"/>
      <c r="C33" s="171"/>
      <c r="D33" s="172"/>
      <c r="E33" s="7" t="s">
        <v>107</v>
      </c>
      <c r="F33" s="6" t="s">
        <v>21</v>
      </c>
      <c r="G33" s="7"/>
      <c r="H33" s="6" t="s">
        <v>111</v>
      </c>
      <c r="I33" s="6" t="s">
        <v>34</v>
      </c>
      <c r="J33" s="155"/>
      <c r="K33" s="157"/>
      <c r="L33" s="21">
        <v>9.6</v>
      </c>
      <c r="M33" s="21"/>
      <c r="N33" s="21">
        <f>L33-M33</f>
        <v>9.6</v>
      </c>
      <c r="O33" s="23"/>
      <c r="P33" s="204"/>
    </row>
    <row r="34" spans="1:16" ht="36.75" customHeight="1" thickTop="1" thickBot="1" x14ac:dyDescent="0.35">
      <c r="A34" s="6" t="str">
        <f>A33</f>
        <v>تسليم</v>
      </c>
      <c r="B34" s="161" t="s">
        <v>29</v>
      </c>
      <c r="C34" s="162"/>
      <c r="D34" s="162"/>
      <c r="E34" s="162"/>
      <c r="F34" s="163"/>
      <c r="G34" s="6">
        <f>SUM(G32)</f>
        <v>25</v>
      </c>
      <c r="H34" s="2" t="s">
        <v>30</v>
      </c>
      <c r="I34" s="3">
        <v>0</v>
      </c>
      <c r="J34" s="173"/>
      <c r="K34" s="174"/>
      <c r="L34" s="21">
        <f>SUM(L32:L33)</f>
        <v>15.7</v>
      </c>
      <c r="M34" s="21">
        <f>SUBTOTAL(9,M32:M33)</f>
        <v>0</v>
      </c>
      <c r="N34" s="21">
        <f>SUBTOTAL(9,N32:N33)</f>
        <v>15.7</v>
      </c>
      <c r="O34" s="23">
        <f>SUM(O32:O33)</f>
        <v>18.899999999999999</v>
      </c>
      <c r="P34" s="193"/>
    </row>
    <row r="35" spans="1:16" ht="36.75" customHeight="1" thickTop="1" thickBot="1" x14ac:dyDescent="0.35">
      <c r="A35" s="4" t="s">
        <v>48</v>
      </c>
      <c r="B35" s="4" t="s">
        <v>0</v>
      </c>
      <c r="C35" s="4" t="s">
        <v>1</v>
      </c>
      <c r="D35" s="5" t="s">
        <v>2</v>
      </c>
      <c r="E35" s="4" t="s">
        <v>3</v>
      </c>
      <c r="F35" s="4" t="s">
        <v>11</v>
      </c>
      <c r="G35" s="4" t="s">
        <v>4</v>
      </c>
      <c r="H35" s="4" t="s">
        <v>15</v>
      </c>
      <c r="I35" s="4" t="s">
        <v>16</v>
      </c>
      <c r="J35" s="21" t="s">
        <v>56</v>
      </c>
      <c r="K35" s="21" t="s">
        <v>12</v>
      </c>
      <c r="L35" s="21" t="s">
        <v>13</v>
      </c>
      <c r="M35" s="21" t="s">
        <v>101</v>
      </c>
      <c r="N35" s="21" t="s">
        <v>100</v>
      </c>
      <c r="O35" s="21" t="s">
        <v>102</v>
      </c>
      <c r="P35" s="4" t="s">
        <v>5</v>
      </c>
    </row>
    <row r="36" spans="1:16" ht="36.75" customHeight="1" thickTop="1" thickBot="1" x14ac:dyDescent="0.35">
      <c r="A36" s="7" t="str">
        <f>A35</f>
        <v>تسليم</v>
      </c>
      <c r="B36" s="9">
        <v>45923</v>
      </c>
      <c r="C36" s="7" t="s">
        <v>108</v>
      </c>
      <c r="D36" s="10" t="s">
        <v>7</v>
      </c>
      <c r="E36" s="7" t="s">
        <v>109</v>
      </c>
      <c r="F36" s="6" t="s">
        <v>17</v>
      </c>
      <c r="G36" s="7">
        <v>25</v>
      </c>
      <c r="H36" s="6" t="s">
        <v>33</v>
      </c>
      <c r="I36" s="6" t="s">
        <v>112</v>
      </c>
      <c r="J36" s="154">
        <f>(K36-(K36*I38))-L38</f>
        <v>-14.400000000000002</v>
      </c>
      <c r="K36" s="156">
        <v>22.7</v>
      </c>
      <c r="L36" s="21">
        <v>18.3</v>
      </c>
      <c r="M36" s="21"/>
      <c r="N36" s="21">
        <f>L36-M36</f>
        <v>18.3</v>
      </c>
      <c r="O36" s="23">
        <f>(G36-(G36*I38))-L36</f>
        <v>6.6999999999999993</v>
      </c>
      <c r="P36" s="20" t="s">
        <v>10</v>
      </c>
    </row>
    <row r="37" spans="1:16" ht="36.75" customHeight="1" thickTop="1" thickBot="1" x14ac:dyDescent="0.35">
      <c r="A37" s="7" t="str">
        <f>A36</f>
        <v>تسليم</v>
      </c>
      <c r="B37" s="9"/>
      <c r="C37" s="7" t="s">
        <v>108</v>
      </c>
      <c r="D37" s="10" t="s">
        <v>7</v>
      </c>
      <c r="E37" s="7" t="s">
        <v>109</v>
      </c>
      <c r="F37" s="6" t="s">
        <v>21</v>
      </c>
      <c r="G37" s="7"/>
      <c r="H37" s="6" t="s">
        <v>110</v>
      </c>
      <c r="I37" s="6" t="s">
        <v>90</v>
      </c>
      <c r="J37" s="155"/>
      <c r="K37" s="157"/>
      <c r="L37" s="21">
        <v>18.8</v>
      </c>
      <c r="M37" s="21"/>
      <c r="N37" s="21">
        <f>L37-M37</f>
        <v>18.8</v>
      </c>
      <c r="O37" s="23"/>
      <c r="P37" s="20"/>
    </row>
    <row r="38" spans="1:16" ht="36.75" customHeight="1" thickTop="1" thickBot="1" x14ac:dyDescent="0.35">
      <c r="A38" s="6" t="str">
        <f>A37</f>
        <v>تسليم</v>
      </c>
      <c r="B38" s="161" t="s">
        <v>29</v>
      </c>
      <c r="C38" s="162"/>
      <c r="D38" s="162"/>
      <c r="E38" s="162"/>
      <c r="F38" s="163"/>
      <c r="G38" s="6">
        <f>SUM(G36)</f>
        <v>25</v>
      </c>
      <c r="H38" s="2" t="s">
        <v>30</v>
      </c>
      <c r="I38" s="3">
        <v>0</v>
      </c>
      <c r="J38" s="173"/>
      <c r="K38" s="174"/>
      <c r="L38" s="21">
        <f>SUM(L36:L37)</f>
        <v>37.1</v>
      </c>
      <c r="M38" s="21">
        <f>SUBTOTAL(9,M36:M37)</f>
        <v>0</v>
      </c>
      <c r="N38" s="21">
        <f>SUBTOTAL(9,N36:N37)</f>
        <v>37.1</v>
      </c>
      <c r="O38" s="23">
        <f>SUM(O36:O37)</f>
        <v>6.6999999999999993</v>
      </c>
      <c r="P38" s="20"/>
    </row>
    <row r="39" spans="1:16" ht="36.75" customHeight="1" thickTop="1" thickBot="1" x14ac:dyDescent="0.35">
      <c r="A39" s="4" t="s">
        <v>48</v>
      </c>
      <c r="B39" s="4" t="s">
        <v>0</v>
      </c>
      <c r="C39" s="4" t="s">
        <v>1</v>
      </c>
      <c r="D39" s="5" t="s">
        <v>2</v>
      </c>
      <c r="E39" s="4" t="s">
        <v>3</v>
      </c>
      <c r="F39" s="4" t="s">
        <v>11</v>
      </c>
      <c r="G39" s="4" t="s">
        <v>4</v>
      </c>
      <c r="H39" s="4" t="s">
        <v>15</v>
      </c>
      <c r="I39" s="4" t="s">
        <v>16</v>
      </c>
      <c r="J39" s="21" t="s">
        <v>56</v>
      </c>
      <c r="K39" s="21" t="s">
        <v>12</v>
      </c>
      <c r="L39" s="21" t="s">
        <v>13</v>
      </c>
      <c r="M39" s="21" t="s">
        <v>101</v>
      </c>
      <c r="N39" s="21" t="s">
        <v>100</v>
      </c>
      <c r="O39" s="21" t="s">
        <v>102</v>
      </c>
      <c r="P39" s="4" t="s">
        <v>5</v>
      </c>
    </row>
    <row r="40" spans="1:16" ht="36.75" customHeight="1" thickTop="1" thickBot="1" x14ac:dyDescent="0.35">
      <c r="A40" s="7" t="s">
        <v>48</v>
      </c>
      <c r="B40" s="9">
        <v>45925</v>
      </c>
      <c r="C40" s="7" t="s">
        <v>92</v>
      </c>
      <c r="D40" s="182" t="s">
        <v>47</v>
      </c>
      <c r="E40" s="7" t="s">
        <v>46</v>
      </c>
      <c r="F40" s="6" t="s">
        <v>20</v>
      </c>
      <c r="G40" s="7">
        <v>400</v>
      </c>
      <c r="H40" s="6" t="s">
        <v>44</v>
      </c>
      <c r="I40" s="6" t="s">
        <v>45</v>
      </c>
      <c r="J40" s="198">
        <f>(K40-(K40*I45))-L45</f>
        <v>48.899999999999807</v>
      </c>
      <c r="K40" s="183">
        <f>412+189.9+478.9+914.8-500.7-213-865.2</f>
        <v>416.69999999999982</v>
      </c>
      <c r="L40" s="21">
        <v>367.8</v>
      </c>
      <c r="M40" s="21">
        <v>367.8</v>
      </c>
      <c r="N40" s="21">
        <f t="shared" ref="N40:N45" si="3">L40-M40</f>
        <v>0</v>
      </c>
      <c r="O40" s="23">
        <f>(G40-(G40*I45))-L40</f>
        <v>32.199999999999989</v>
      </c>
      <c r="P40" s="175" t="s">
        <v>10</v>
      </c>
    </row>
    <row r="41" spans="1:16" ht="36.75" customHeight="1" thickTop="1" thickBot="1" x14ac:dyDescent="0.35">
      <c r="A41" s="7" t="s">
        <v>48</v>
      </c>
      <c r="B41" s="9">
        <v>45925</v>
      </c>
      <c r="C41" s="7" t="s">
        <v>92</v>
      </c>
      <c r="D41" s="182"/>
      <c r="E41" s="7" t="s">
        <v>46</v>
      </c>
      <c r="F41" s="6"/>
      <c r="G41" s="7">
        <v>400</v>
      </c>
      <c r="H41" s="6" t="s">
        <v>44</v>
      </c>
      <c r="I41" s="6" t="s">
        <v>45</v>
      </c>
      <c r="J41" s="198"/>
      <c r="K41" s="183"/>
      <c r="L41" s="21"/>
      <c r="M41" s="21"/>
      <c r="N41" s="21">
        <f t="shared" si="3"/>
        <v>0</v>
      </c>
      <c r="O41" s="23">
        <f>(G41-(G41*I45))-L41</f>
        <v>400</v>
      </c>
      <c r="P41" s="175"/>
    </row>
    <row r="42" spans="1:16" ht="36.75" customHeight="1" thickTop="1" thickBot="1" x14ac:dyDescent="0.35">
      <c r="A42" s="7" t="s">
        <v>48</v>
      </c>
      <c r="B42" s="9">
        <v>2</v>
      </c>
      <c r="C42" s="7" t="s">
        <v>92</v>
      </c>
      <c r="D42" s="182"/>
      <c r="E42" s="7" t="s">
        <v>46</v>
      </c>
      <c r="F42" s="6"/>
      <c r="G42" s="7">
        <v>400</v>
      </c>
      <c r="H42" s="6" t="s">
        <v>44</v>
      </c>
      <c r="I42" s="6" t="s">
        <v>45</v>
      </c>
      <c r="J42" s="198"/>
      <c r="K42" s="183"/>
      <c r="L42" s="21"/>
      <c r="M42" s="21"/>
      <c r="N42" s="21">
        <f t="shared" si="3"/>
        <v>0</v>
      </c>
      <c r="O42" s="23">
        <f>(G42-(G42*I45))-L42</f>
        <v>400</v>
      </c>
      <c r="P42" s="175"/>
    </row>
    <row r="43" spans="1:16" ht="36.75" customHeight="1" thickTop="1" thickBot="1" x14ac:dyDescent="0.35">
      <c r="A43" s="7" t="s">
        <v>48</v>
      </c>
      <c r="B43" s="9">
        <v>45925</v>
      </c>
      <c r="C43" s="7" t="s">
        <v>92</v>
      </c>
      <c r="D43" s="182"/>
      <c r="E43" s="7" t="s">
        <v>46</v>
      </c>
      <c r="F43" s="6"/>
      <c r="G43" s="7">
        <v>400</v>
      </c>
      <c r="H43" s="6" t="s">
        <v>44</v>
      </c>
      <c r="I43" s="6" t="s">
        <v>45</v>
      </c>
      <c r="J43" s="198"/>
      <c r="K43" s="183"/>
      <c r="L43" s="21"/>
      <c r="M43" s="21"/>
      <c r="N43" s="21">
        <f t="shared" si="3"/>
        <v>0</v>
      </c>
      <c r="O43" s="23">
        <f>(G43-(G43*I45))-L43</f>
        <v>400</v>
      </c>
      <c r="P43" s="175"/>
    </row>
    <row r="44" spans="1:16" ht="36.75" customHeight="1" thickTop="1" thickBot="1" x14ac:dyDescent="0.35">
      <c r="A44" s="7" t="s">
        <v>48</v>
      </c>
      <c r="B44" s="9">
        <v>45925</v>
      </c>
      <c r="C44" s="7" t="s">
        <v>92</v>
      </c>
      <c r="D44" s="182"/>
      <c r="E44" s="7" t="s">
        <v>46</v>
      </c>
      <c r="F44" s="6"/>
      <c r="G44" s="7">
        <v>400</v>
      </c>
      <c r="H44" s="6" t="s">
        <v>44</v>
      </c>
      <c r="I44" s="6" t="s">
        <v>45</v>
      </c>
      <c r="J44" s="198"/>
      <c r="K44" s="183"/>
      <c r="L44" s="21"/>
      <c r="M44" s="21"/>
      <c r="N44" s="21">
        <f t="shared" si="3"/>
        <v>0</v>
      </c>
      <c r="O44" s="23">
        <f>(G44-(G44*I45))-L44</f>
        <v>400</v>
      </c>
      <c r="P44" s="175"/>
    </row>
    <row r="45" spans="1:16" ht="36.75" customHeight="1" thickTop="1" thickBot="1" x14ac:dyDescent="0.35">
      <c r="A45" s="6" t="str">
        <f>A40</f>
        <v>تسليم</v>
      </c>
      <c r="B45" s="179" t="s">
        <v>29</v>
      </c>
      <c r="C45" s="179"/>
      <c r="D45" s="179"/>
      <c r="E45" s="179"/>
      <c r="F45" s="179"/>
      <c r="G45" s="6">
        <f>SUM(G40:G44)</f>
        <v>2000</v>
      </c>
      <c r="H45" s="2" t="s">
        <v>30</v>
      </c>
      <c r="I45" s="3">
        <v>0</v>
      </c>
      <c r="J45" s="198"/>
      <c r="K45" s="183"/>
      <c r="L45" s="21">
        <f>SUM(L40:L44)</f>
        <v>367.8</v>
      </c>
      <c r="M45" s="21">
        <f>SUBTOTAL(9,M40:M44)</f>
        <v>367.8</v>
      </c>
      <c r="N45" s="21">
        <f t="shared" si="3"/>
        <v>0</v>
      </c>
      <c r="O45" s="23">
        <f>SUM(O40:O44)</f>
        <v>1632.2</v>
      </c>
      <c r="P45" s="175"/>
    </row>
    <row r="46" spans="1:16" ht="36.75" customHeight="1" thickTop="1" thickBot="1" x14ac:dyDescent="0.35">
      <c r="A46" s="43" t="s">
        <v>48</v>
      </c>
      <c r="B46" s="43" t="s">
        <v>0</v>
      </c>
      <c r="C46" s="43" t="s">
        <v>1</v>
      </c>
      <c r="D46" s="44" t="s">
        <v>2</v>
      </c>
      <c r="E46" s="43" t="s">
        <v>3</v>
      </c>
      <c r="F46" s="43" t="s">
        <v>11</v>
      </c>
      <c r="G46" s="43" t="s">
        <v>4</v>
      </c>
      <c r="H46" s="43" t="s">
        <v>15</v>
      </c>
      <c r="I46" s="43" t="s">
        <v>16</v>
      </c>
      <c r="J46" s="26" t="s">
        <v>56</v>
      </c>
      <c r="K46" s="26" t="s">
        <v>12</v>
      </c>
      <c r="L46" s="26" t="s">
        <v>13</v>
      </c>
      <c r="M46" s="26" t="s">
        <v>101</v>
      </c>
      <c r="N46" s="26" t="s">
        <v>100</v>
      </c>
      <c r="O46" s="26" t="s">
        <v>102</v>
      </c>
      <c r="P46" s="43" t="s">
        <v>5</v>
      </c>
    </row>
    <row r="47" spans="1:16" ht="36.75" customHeight="1" thickTop="1" thickBot="1" x14ac:dyDescent="0.35">
      <c r="A47" s="7" t="str">
        <f>A46</f>
        <v>تسليم</v>
      </c>
      <c r="B47" s="9">
        <v>45934</v>
      </c>
      <c r="C47" s="194" t="s">
        <v>31</v>
      </c>
      <c r="D47" s="182" t="s">
        <v>47</v>
      </c>
      <c r="E47" s="7" t="s">
        <v>51</v>
      </c>
      <c r="F47" s="6" t="s">
        <v>17</v>
      </c>
      <c r="G47" s="7">
        <v>300</v>
      </c>
      <c r="H47" s="6" t="s">
        <v>18</v>
      </c>
      <c r="I47" s="6" t="s">
        <v>58</v>
      </c>
      <c r="J47" s="198">
        <f>(K47-(K47*I60))-L60</f>
        <v>-2200.9999999999995</v>
      </c>
      <c r="K47" s="30"/>
      <c r="L47" s="21">
        <f>300.2</f>
        <v>300.2</v>
      </c>
      <c r="M47" s="21">
        <f>300.2</f>
        <v>300.2</v>
      </c>
      <c r="N47" s="21"/>
      <c r="O47" s="23">
        <f>(G47-(G47*I60))-L47</f>
        <v>-0.19999999999998863</v>
      </c>
      <c r="P47" s="175" t="s">
        <v>57</v>
      </c>
    </row>
    <row r="48" spans="1:16" ht="36.75" customHeight="1" thickTop="1" thickBot="1" x14ac:dyDescent="0.35">
      <c r="A48" s="115" t="str">
        <f t="shared" ref="A48:A59" si="4">A47</f>
        <v>تسليم</v>
      </c>
      <c r="B48" s="9">
        <v>45934</v>
      </c>
      <c r="C48" s="194"/>
      <c r="D48" s="182"/>
      <c r="E48" s="7" t="s">
        <v>95</v>
      </c>
      <c r="F48" s="6" t="s">
        <v>17</v>
      </c>
      <c r="G48" s="7">
        <f>G47*F59</f>
        <v>60</v>
      </c>
      <c r="H48" s="6"/>
      <c r="I48" s="6"/>
      <c r="J48" s="198"/>
      <c r="K48" s="30"/>
      <c r="L48" s="21">
        <f>46</f>
        <v>46</v>
      </c>
      <c r="M48" s="21">
        <f>46</f>
        <v>46</v>
      </c>
      <c r="N48" s="21"/>
      <c r="O48" s="23"/>
      <c r="P48" s="175"/>
    </row>
    <row r="49" spans="1:16" ht="36.75" customHeight="1" thickTop="1" thickBot="1" x14ac:dyDescent="0.35">
      <c r="A49" s="115" t="str">
        <f t="shared" si="4"/>
        <v>تسليم</v>
      </c>
      <c r="B49" s="9">
        <v>45934</v>
      </c>
      <c r="C49" s="194"/>
      <c r="D49" s="182"/>
      <c r="E49" s="7" t="s">
        <v>51</v>
      </c>
      <c r="F49" s="6" t="s">
        <v>50</v>
      </c>
      <c r="G49" s="7">
        <v>300</v>
      </c>
      <c r="H49" s="6" t="s">
        <v>18</v>
      </c>
      <c r="I49" s="6" t="s">
        <v>58</v>
      </c>
      <c r="J49" s="198"/>
      <c r="K49" s="30"/>
      <c r="L49" s="21">
        <f>301.7</f>
        <v>301.7</v>
      </c>
      <c r="M49" s="21">
        <f>301.7</f>
        <v>301.7</v>
      </c>
      <c r="N49" s="21"/>
      <c r="O49" s="23">
        <f>(G49-(G49*I60))-L49</f>
        <v>-1.6999999999999886</v>
      </c>
      <c r="P49" s="175"/>
    </row>
    <row r="50" spans="1:16" ht="36.75" customHeight="1" thickTop="1" thickBot="1" x14ac:dyDescent="0.35">
      <c r="A50" s="115" t="str">
        <f t="shared" si="4"/>
        <v>تسليم</v>
      </c>
      <c r="B50" s="9">
        <v>45934</v>
      </c>
      <c r="C50" s="194"/>
      <c r="D50" s="182"/>
      <c r="E50" s="7" t="s">
        <v>95</v>
      </c>
      <c r="F50" s="6" t="s">
        <v>50</v>
      </c>
      <c r="G50" s="7">
        <f>G49*F59</f>
        <v>60</v>
      </c>
      <c r="H50" s="6"/>
      <c r="I50" s="6"/>
      <c r="J50" s="198"/>
      <c r="K50" s="30"/>
      <c r="L50" s="21">
        <f>39.2</f>
        <v>39.200000000000003</v>
      </c>
      <c r="M50" s="21">
        <f>92.2</f>
        <v>92.2</v>
      </c>
      <c r="N50" s="21"/>
      <c r="O50" s="23"/>
      <c r="P50" s="175"/>
    </row>
    <row r="51" spans="1:16" ht="36.75" customHeight="1" thickTop="1" thickBot="1" x14ac:dyDescent="0.35">
      <c r="A51" s="115" t="str">
        <f t="shared" si="4"/>
        <v>تسليم</v>
      </c>
      <c r="B51" s="9">
        <v>45934</v>
      </c>
      <c r="C51" s="194"/>
      <c r="D51" s="182"/>
      <c r="E51" s="7" t="s">
        <v>51</v>
      </c>
      <c r="F51" s="6" t="s">
        <v>52</v>
      </c>
      <c r="G51" s="7">
        <v>300</v>
      </c>
      <c r="H51" s="6" t="s">
        <v>18</v>
      </c>
      <c r="I51" s="6" t="s">
        <v>58</v>
      </c>
      <c r="J51" s="198"/>
      <c r="K51" s="30"/>
      <c r="L51" s="21">
        <f>294</f>
        <v>294</v>
      </c>
      <c r="M51" s="21">
        <f>294</f>
        <v>294</v>
      </c>
      <c r="N51" s="21"/>
      <c r="O51" s="23">
        <f>(G51-(G51*I60))-L51</f>
        <v>6</v>
      </c>
      <c r="P51" s="175"/>
    </row>
    <row r="52" spans="1:16" ht="36.75" customHeight="1" thickTop="1" thickBot="1" x14ac:dyDescent="0.35">
      <c r="A52" s="115" t="str">
        <f t="shared" si="4"/>
        <v>تسليم</v>
      </c>
      <c r="B52" s="9">
        <v>45934</v>
      </c>
      <c r="C52" s="194"/>
      <c r="D52" s="182"/>
      <c r="E52" s="7" t="s">
        <v>95</v>
      </c>
      <c r="F52" s="6" t="s">
        <v>52</v>
      </c>
      <c r="G52" s="7">
        <f>G51*F59</f>
        <v>60</v>
      </c>
      <c r="H52" s="6"/>
      <c r="I52" s="6"/>
      <c r="J52" s="198"/>
      <c r="K52" s="30"/>
      <c r="L52" s="21">
        <f>41</f>
        <v>41</v>
      </c>
      <c r="M52" s="21">
        <f>41</f>
        <v>41</v>
      </c>
      <c r="N52" s="21"/>
      <c r="O52" s="23"/>
      <c r="P52" s="175"/>
    </row>
    <row r="53" spans="1:16" ht="36.75" customHeight="1" thickTop="1" thickBot="1" x14ac:dyDescent="0.35">
      <c r="A53" s="115" t="str">
        <f t="shared" si="4"/>
        <v>تسليم</v>
      </c>
      <c r="B53" s="9">
        <v>45934</v>
      </c>
      <c r="C53" s="194"/>
      <c r="D53" s="182"/>
      <c r="E53" s="7" t="s">
        <v>51</v>
      </c>
      <c r="F53" s="6" t="s">
        <v>53</v>
      </c>
      <c r="G53" s="7">
        <v>300</v>
      </c>
      <c r="H53" s="6" t="s">
        <v>18</v>
      </c>
      <c r="I53" s="6" t="s">
        <v>58</v>
      </c>
      <c r="J53" s="198"/>
      <c r="K53" s="30"/>
      <c r="L53" s="21">
        <v>298</v>
      </c>
      <c r="M53" s="21">
        <f>298</f>
        <v>298</v>
      </c>
      <c r="N53" s="21"/>
      <c r="O53" s="23">
        <f>(G53-(G53*I60))-L53</f>
        <v>2</v>
      </c>
      <c r="P53" s="175"/>
    </row>
    <row r="54" spans="1:16" ht="36.75" customHeight="1" thickTop="1" thickBot="1" x14ac:dyDescent="0.35">
      <c r="A54" s="115" t="str">
        <f t="shared" si="4"/>
        <v>تسليم</v>
      </c>
      <c r="B54" s="9">
        <v>45934</v>
      </c>
      <c r="C54" s="194"/>
      <c r="D54" s="182"/>
      <c r="E54" s="7" t="s">
        <v>95</v>
      </c>
      <c r="F54" s="6" t="s">
        <v>53</v>
      </c>
      <c r="G54" s="7">
        <f>G53*F59</f>
        <v>60</v>
      </c>
      <c r="H54" s="6"/>
      <c r="I54" s="6"/>
      <c r="J54" s="198"/>
      <c r="K54" s="30"/>
      <c r="L54" s="21">
        <f>45.7</f>
        <v>45.7</v>
      </c>
      <c r="M54" s="21">
        <f>45.7</f>
        <v>45.7</v>
      </c>
      <c r="N54" s="21"/>
      <c r="O54" s="23"/>
      <c r="P54" s="175"/>
    </row>
    <row r="55" spans="1:16" ht="36.75" customHeight="1" thickTop="1" thickBot="1" x14ac:dyDescent="0.35">
      <c r="A55" s="115" t="str">
        <f t="shared" si="4"/>
        <v>تسليم</v>
      </c>
      <c r="B55" s="9">
        <v>45934</v>
      </c>
      <c r="C55" s="194"/>
      <c r="D55" s="182"/>
      <c r="E55" s="7" t="s">
        <v>51</v>
      </c>
      <c r="F55" s="6" t="s">
        <v>54</v>
      </c>
      <c r="G55" s="7">
        <v>300</v>
      </c>
      <c r="H55" s="6" t="s">
        <v>18</v>
      </c>
      <c r="I55" s="6" t="s">
        <v>58</v>
      </c>
      <c r="J55" s="198"/>
      <c r="K55" s="30"/>
      <c r="L55" s="21">
        <f>281.9</f>
        <v>281.89999999999998</v>
      </c>
      <c r="M55" s="21">
        <f>281.9</f>
        <v>281.89999999999998</v>
      </c>
      <c r="N55" s="21"/>
      <c r="O55" s="23">
        <f>(G55-(G55*I60))-L55</f>
        <v>18.100000000000023</v>
      </c>
      <c r="P55" s="175"/>
    </row>
    <row r="56" spans="1:16" ht="36.75" customHeight="1" thickTop="1" thickBot="1" x14ac:dyDescent="0.35">
      <c r="A56" s="115" t="str">
        <f t="shared" si="4"/>
        <v>تسليم</v>
      </c>
      <c r="B56" s="9">
        <v>45934</v>
      </c>
      <c r="C56" s="194"/>
      <c r="D56" s="182"/>
      <c r="E56" s="7" t="s">
        <v>95</v>
      </c>
      <c r="F56" s="6" t="s">
        <v>54</v>
      </c>
      <c r="G56" s="7">
        <f>G55*F59</f>
        <v>60</v>
      </c>
      <c r="H56" s="6"/>
      <c r="I56" s="6"/>
      <c r="J56" s="198"/>
      <c r="K56" s="30"/>
      <c r="L56" s="21">
        <f>49.1</f>
        <v>49.1</v>
      </c>
      <c r="M56" s="21">
        <f>49.1</f>
        <v>49.1</v>
      </c>
      <c r="N56" s="21"/>
      <c r="O56" s="23"/>
      <c r="P56" s="175"/>
    </row>
    <row r="57" spans="1:16" ht="36.75" customHeight="1" thickTop="1" thickBot="1" x14ac:dyDescent="0.35">
      <c r="A57" s="115" t="str">
        <f t="shared" si="4"/>
        <v>تسليم</v>
      </c>
      <c r="B57" s="9">
        <v>45934</v>
      </c>
      <c r="C57" s="194"/>
      <c r="D57" s="182"/>
      <c r="E57" s="7" t="s">
        <v>51</v>
      </c>
      <c r="F57" s="6" t="s">
        <v>99</v>
      </c>
      <c r="G57" s="7">
        <v>300</v>
      </c>
      <c r="H57" s="6" t="s">
        <v>18</v>
      </c>
      <c r="I57" s="6" t="s">
        <v>58</v>
      </c>
      <c r="J57" s="198"/>
      <c r="K57" s="30"/>
      <c r="L57" s="21">
        <f>239+185</f>
        <v>424</v>
      </c>
      <c r="M57" s="21">
        <f>239+185</f>
        <v>424</v>
      </c>
      <c r="N57" s="21"/>
      <c r="O57" s="23">
        <f>(G57-(G57*I60))-L57</f>
        <v>-124</v>
      </c>
      <c r="P57" s="175"/>
    </row>
    <row r="58" spans="1:16" ht="36.75" customHeight="1" thickTop="1" thickBot="1" x14ac:dyDescent="0.35">
      <c r="A58" s="115" t="str">
        <f t="shared" si="4"/>
        <v>تسليم</v>
      </c>
      <c r="B58" s="9">
        <v>45934</v>
      </c>
      <c r="C58" s="194"/>
      <c r="D58" s="182"/>
      <c r="E58" s="7" t="s">
        <v>95</v>
      </c>
      <c r="F58" s="6" t="s">
        <v>99</v>
      </c>
      <c r="G58" s="7">
        <f>G57*F59</f>
        <v>60</v>
      </c>
      <c r="H58" s="6"/>
      <c r="I58" s="6"/>
      <c r="J58" s="198"/>
      <c r="K58" s="30"/>
      <c r="L58" s="21">
        <f>47.2+33</f>
        <v>80.2</v>
      </c>
      <c r="M58" s="21">
        <f>47+33</f>
        <v>80</v>
      </c>
      <c r="N58" s="21"/>
      <c r="O58" s="23"/>
      <c r="P58" s="175"/>
    </row>
    <row r="59" spans="1:16" ht="36.75" customHeight="1" thickTop="1" thickBot="1" x14ac:dyDescent="0.35">
      <c r="A59" s="115" t="str">
        <f t="shared" si="4"/>
        <v>تسليم</v>
      </c>
      <c r="B59" s="9">
        <v>45934</v>
      </c>
      <c r="C59" s="194"/>
      <c r="D59" s="182"/>
      <c r="E59" s="11" t="s">
        <v>95</v>
      </c>
      <c r="F59" s="15">
        <v>0.2</v>
      </c>
      <c r="G59" s="11">
        <f>G60*F59</f>
        <v>432</v>
      </c>
      <c r="H59" s="12"/>
      <c r="I59" s="12"/>
      <c r="J59" s="48">
        <f>(K59-(K59*I60))-L59</f>
        <v>0</v>
      </c>
      <c r="K59" s="30"/>
      <c r="L59" s="21"/>
      <c r="M59" s="21"/>
      <c r="N59" s="21"/>
      <c r="O59" s="23">
        <f>(G59-(G59*I60))-L59</f>
        <v>432</v>
      </c>
      <c r="P59" s="175"/>
    </row>
    <row r="60" spans="1:16" ht="36.75" customHeight="1" thickTop="1" thickBot="1" x14ac:dyDescent="0.35">
      <c r="A60" s="6" t="str">
        <f>A47</f>
        <v>تسليم</v>
      </c>
      <c r="B60" s="179" t="s">
        <v>29</v>
      </c>
      <c r="C60" s="179"/>
      <c r="D60" s="179"/>
      <c r="E60" s="179"/>
      <c r="F60" s="179"/>
      <c r="G60" s="6">
        <f>SUM(G47:G58)</f>
        <v>2160</v>
      </c>
      <c r="H60" s="2" t="s">
        <v>30</v>
      </c>
      <c r="I60" s="3">
        <v>0</v>
      </c>
      <c r="J60" s="25"/>
      <c r="K60" s="30"/>
      <c r="L60" s="21">
        <f>SUM(L47:L58)</f>
        <v>2200.9999999999995</v>
      </c>
      <c r="M60" s="21"/>
      <c r="N60" s="21"/>
      <c r="O60" s="23">
        <f>SUM(O47:O55)</f>
        <v>24.200000000000045</v>
      </c>
      <c r="P60" s="175"/>
    </row>
    <row r="61" spans="1:16" ht="36.75" customHeight="1" thickTop="1" thickBot="1" x14ac:dyDescent="0.35">
      <c r="A61" s="4" t="s">
        <v>48</v>
      </c>
      <c r="B61" s="4" t="s">
        <v>0</v>
      </c>
      <c r="C61" s="4" t="s">
        <v>1</v>
      </c>
      <c r="D61" s="5" t="s">
        <v>2</v>
      </c>
      <c r="E61" s="4" t="s">
        <v>3</v>
      </c>
      <c r="F61" s="4" t="s">
        <v>11</v>
      </c>
      <c r="G61" s="4" t="s">
        <v>4</v>
      </c>
      <c r="H61" s="4" t="s">
        <v>15</v>
      </c>
      <c r="I61" s="4" t="s">
        <v>16</v>
      </c>
      <c r="J61" s="21" t="s">
        <v>5</v>
      </c>
      <c r="K61" s="21" t="s">
        <v>12</v>
      </c>
      <c r="L61" s="21" t="s">
        <v>13</v>
      </c>
      <c r="M61" s="21" t="s">
        <v>101</v>
      </c>
      <c r="N61" s="21" t="s">
        <v>100</v>
      </c>
      <c r="O61" s="21" t="s">
        <v>102</v>
      </c>
      <c r="P61" s="4" t="s">
        <v>5</v>
      </c>
    </row>
    <row r="62" spans="1:16" ht="36.75" customHeight="1" thickTop="1" thickBot="1" x14ac:dyDescent="0.35">
      <c r="A62" s="7" t="str">
        <f>A61</f>
        <v>تسليم</v>
      </c>
      <c r="B62" s="9">
        <v>45934</v>
      </c>
      <c r="C62" s="7" t="s">
        <v>31</v>
      </c>
      <c r="D62" s="182" t="s">
        <v>47</v>
      </c>
      <c r="E62" s="7" t="s">
        <v>49</v>
      </c>
      <c r="F62" s="6" t="s">
        <v>21</v>
      </c>
      <c r="G62" s="7">
        <v>400</v>
      </c>
      <c r="H62" s="6" t="s">
        <v>33</v>
      </c>
      <c r="I62" s="6" t="s">
        <v>55</v>
      </c>
      <c r="J62" s="198">
        <f>(K62-(K62*I66))-L66</f>
        <v>107.69999999999982</v>
      </c>
      <c r="K62" s="183">
        <f>1540.1</f>
        <v>1540.1</v>
      </c>
      <c r="L62" s="21">
        <f>344.1</f>
        <v>344.1</v>
      </c>
      <c r="M62" s="21">
        <v>335.8</v>
      </c>
      <c r="N62" s="21"/>
      <c r="O62" s="23">
        <f>(G62-(G62*I66))-L62</f>
        <v>55.899999999999977</v>
      </c>
      <c r="P62" s="175"/>
    </row>
    <row r="63" spans="1:16" ht="36.75" customHeight="1" thickTop="1" thickBot="1" x14ac:dyDescent="0.35">
      <c r="A63" s="7" t="str">
        <f>A62</f>
        <v>تسليم</v>
      </c>
      <c r="B63" s="9">
        <v>45934</v>
      </c>
      <c r="C63" s="7" t="s">
        <v>31</v>
      </c>
      <c r="D63" s="182"/>
      <c r="E63" s="7" t="s">
        <v>49</v>
      </c>
      <c r="F63" s="6" t="s">
        <v>17</v>
      </c>
      <c r="G63" s="7">
        <v>400</v>
      </c>
      <c r="H63" s="6" t="s">
        <v>33</v>
      </c>
      <c r="I63" s="6" t="s">
        <v>55</v>
      </c>
      <c r="J63" s="198"/>
      <c r="K63" s="183"/>
      <c r="L63" s="21">
        <f>396.1</f>
        <v>396.1</v>
      </c>
      <c r="M63" s="21">
        <f>396</f>
        <v>396</v>
      </c>
      <c r="N63" s="21"/>
      <c r="O63" s="23">
        <f>(G63-(G63*I66))-L63</f>
        <v>3.8999999999999773</v>
      </c>
      <c r="P63" s="175"/>
    </row>
    <row r="64" spans="1:16" ht="36.75" customHeight="1" thickTop="1" thickBot="1" x14ac:dyDescent="0.35">
      <c r="A64" s="7" t="str">
        <f>A63</f>
        <v>تسليم</v>
      </c>
      <c r="B64" s="9">
        <v>45934</v>
      </c>
      <c r="C64" s="7" t="s">
        <v>31</v>
      </c>
      <c r="D64" s="182"/>
      <c r="E64" s="7" t="s">
        <v>49</v>
      </c>
      <c r="F64" s="6" t="s">
        <v>50</v>
      </c>
      <c r="G64" s="7">
        <v>400</v>
      </c>
      <c r="H64" s="6" t="s">
        <v>33</v>
      </c>
      <c r="I64" s="6" t="s">
        <v>55</v>
      </c>
      <c r="J64" s="198"/>
      <c r="K64" s="183"/>
      <c r="L64" s="21">
        <f>357.8</f>
        <v>357.8</v>
      </c>
      <c r="M64" s="21">
        <f>357.8</f>
        <v>357.8</v>
      </c>
      <c r="N64" s="21"/>
      <c r="O64" s="23">
        <f>(G64-(G64*I66))-L64</f>
        <v>42.199999999999989</v>
      </c>
      <c r="P64" s="175"/>
    </row>
    <row r="65" spans="1:16" ht="36.75" customHeight="1" thickTop="1" thickBot="1" x14ac:dyDescent="0.35">
      <c r="A65" s="7" t="str">
        <f>A64</f>
        <v>تسليم</v>
      </c>
      <c r="B65" s="9">
        <v>45934</v>
      </c>
      <c r="C65" s="7" t="s">
        <v>31</v>
      </c>
      <c r="D65" s="182"/>
      <c r="E65" s="7" t="s">
        <v>49</v>
      </c>
      <c r="F65" s="6" t="s">
        <v>39</v>
      </c>
      <c r="G65" s="7">
        <v>400</v>
      </c>
      <c r="H65" s="6" t="s">
        <v>33</v>
      </c>
      <c r="I65" s="6" t="s">
        <v>55</v>
      </c>
      <c r="J65" s="198"/>
      <c r="K65" s="183"/>
      <c r="L65" s="21">
        <f>334.4</f>
        <v>334.4</v>
      </c>
      <c r="M65" s="21">
        <v>345.8</v>
      </c>
      <c r="N65" s="21"/>
      <c r="O65" s="23">
        <f>(G65-(G65*I66))-L65</f>
        <v>65.600000000000023</v>
      </c>
      <c r="P65" s="175"/>
    </row>
    <row r="66" spans="1:16" ht="36.75" customHeight="1" thickTop="1" thickBot="1" x14ac:dyDescent="0.35">
      <c r="A66" s="6" t="str">
        <f>A65</f>
        <v>تسليم</v>
      </c>
      <c r="B66" s="179" t="s">
        <v>29</v>
      </c>
      <c r="C66" s="179"/>
      <c r="D66" s="179"/>
      <c r="E66" s="179"/>
      <c r="F66" s="179"/>
      <c r="G66" s="6">
        <f>SUM(G62:G65)</f>
        <v>1600</v>
      </c>
      <c r="H66" s="2" t="s">
        <v>30</v>
      </c>
      <c r="I66" s="3">
        <v>0</v>
      </c>
      <c r="J66" s="198"/>
      <c r="K66" s="183"/>
      <c r="L66" s="21">
        <f>SUM(L62:L65)</f>
        <v>1432.4</v>
      </c>
      <c r="M66" s="21">
        <f t="shared" ref="M66" si="5">SUM(M62:M65)</f>
        <v>1435.3999999999999</v>
      </c>
      <c r="N66" s="21">
        <f>L66-M66</f>
        <v>-2.9999999999997726</v>
      </c>
      <c r="O66" s="21">
        <f>SUM(O62:O65)</f>
        <v>167.59999999999997</v>
      </c>
      <c r="P66" s="175"/>
    </row>
    <row r="67" spans="1:16" ht="36.75" customHeight="1" thickTop="1" thickBot="1" x14ac:dyDescent="0.35">
      <c r="A67" s="4" t="s">
        <v>48</v>
      </c>
      <c r="B67" s="4" t="s">
        <v>0</v>
      </c>
      <c r="C67" s="4" t="s">
        <v>1</v>
      </c>
      <c r="D67" s="5" t="s">
        <v>2</v>
      </c>
      <c r="E67" s="4" t="s">
        <v>3</v>
      </c>
      <c r="F67" s="4" t="s">
        <v>11</v>
      </c>
      <c r="G67" s="4" t="s">
        <v>4</v>
      </c>
      <c r="H67" s="4" t="s">
        <v>15</v>
      </c>
      <c r="I67" s="4" t="s">
        <v>16</v>
      </c>
      <c r="J67" s="21" t="s">
        <v>5</v>
      </c>
      <c r="K67" s="21" t="s">
        <v>12</v>
      </c>
      <c r="L67" s="21" t="s">
        <v>13</v>
      </c>
      <c r="M67" s="21" t="s">
        <v>101</v>
      </c>
      <c r="N67" s="21" t="s">
        <v>100</v>
      </c>
      <c r="O67" s="21" t="s">
        <v>102</v>
      </c>
      <c r="P67" s="4" t="s">
        <v>5</v>
      </c>
    </row>
    <row r="68" spans="1:16" ht="36.75" customHeight="1" thickTop="1" thickBot="1" x14ac:dyDescent="0.35">
      <c r="A68" s="7" t="s">
        <v>48</v>
      </c>
      <c r="B68" s="9">
        <v>45934</v>
      </c>
      <c r="C68" s="7" t="s">
        <v>31</v>
      </c>
      <c r="D68" s="182" t="s">
        <v>47</v>
      </c>
      <c r="E68" s="7" t="s">
        <v>59</v>
      </c>
      <c r="F68" s="6" t="s">
        <v>17</v>
      </c>
      <c r="G68" s="7">
        <v>400</v>
      </c>
      <c r="H68" s="6"/>
      <c r="I68" s="6" t="s">
        <v>58</v>
      </c>
      <c r="J68" s="198">
        <f>(K68-(K68*I72))-L72</f>
        <v>694.5</v>
      </c>
      <c r="K68" s="183">
        <f>182.2+878.5+700</f>
        <v>1760.7</v>
      </c>
      <c r="L68" s="21">
        <f>331.2</f>
        <v>331.2</v>
      </c>
      <c r="M68" s="21">
        <f>331.2</f>
        <v>331.2</v>
      </c>
      <c r="N68" s="21"/>
      <c r="O68" s="23">
        <f>(G68-(G68*I72))-L68</f>
        <v>68.800000000000011</v>
      </c>
      <c r="P68" s="175"/>
    </row>
    <row r="69" spans="1:16" ht="36.75" customHeight="1" thickTop="1" thickBot="1" x14ac:dyDescent="0.35">
      <c r="A69" s="7" t="str">
        <f>A68</f>
        <v>تسليم</v>
      </c>
      <c r="B69" s="9">
        <v>45934</v>
      </c>
      <c r="C69" s="7" t="s">
        <v>31</v>
      </c>
      <c r="D69" s="182"/>
      <c r="E69" s="7" t="s">
        <v>59</v>
      </c>
      <c r="F69" s="6" t="s">
        <v>50</v>
      </c>
      <c r="G69" s="7">
        <v>400</v>
      </c>
      <c r="H69" s="6"/>
      <c r="I69" s="6" t="s">
        <v>58</v>
      </c>
      <c r="J69" s="198"/>
      <c r="K69" s="183"/>
      <c r="L69" s="21">
        <f>374</f>
        <v>374</v>
      </c>
      <c r="M69" s="21">
        <v>374.1</v>
      </c>
      <c r="N69" s="21"/>
      <c r="O69" s="23">
        <f>(G69-(G69*I72))-L69</f>
        <v>26</v>
      </c>
      <c r="P69" s="175"/>
    </row>
    <row r="70" spans="1:16" ht="36.75" customHeight="1" thickTop="1" thickBot="1" x14ac:dyDescent="0.35">
      <c r="A70" s="7" t="str">
        <f>A69</f>
        <v>تسليم</v>
      </c>
      <c r="B70" s="9">
        <v>45934</v>
      </c>
      <c r="C70" s="7" t="s">
        <v>31</v>
      </c>
      <c r="D70" s="182"/>
      <c r="E70" s="7" t="s">
        <v>59</v>
      </c>
      <c r="F70" s="6" t="s">
        <v>53</v>
      </c>
      <c r="G70" s="7">
        <v>400</v>
      </c>
      <c r="H70" s="6"/>
      <c r="I70" s="6" t="s">
        <v>58</v>
      </c>
      <c r="J70" s="198"/>
      <c r="K70" s="183"/>
      <c r="L70" s="21">
        <f>361</f>
        <v>361</v>
      </c>
      <c r="M70" s="21">
        <f>361</f>
        <v>361</v>
      </c>
      <c r="N70" s="21"/>
      <c r="O70" s="23">
        <f>(G70-(G70*I72))-L70</f>
        <v>39</v>
      </c>
      <c r="P70" s="175"/>
    </row>
    <row r="71" spans="1:16" ht="36.75" customHeight="1" thickTop="1" thickBot="1" x14ac:dyDescent="0.35">
      <c r="A71" s="7" t="str">
        <f>A70</f>
        <v>تسليم</v>
      </c>
      <c r="B71" s="9">
        <v>45934</v>
      </c>
      <c r="C71" s="7" t="s">
        <v>31</v>
      </c>
      <c r="D71" s="182"/>
      <c r="E71" s="7" t="s">
        <v>59</v>
      </c>
      <c r="F71" s="6" t="s">
        <v>134</v>
      </c>
      <c r="G71" s="7">
        <v>400</v>
      </c>
      <c r="H71" s="6"/>
      <c r="I71" s="6"/>
      <c r="J71" s="198"/>
      <c r="K71" s="183"/>
      <c r="L71" s="21">
        <f>335</f>
        <v>335</v>
      </c>
      <c r="M71" s="21">
        <f>335</f>
        <v>335</v>
      </c>
      <c r="N71" s="21"/>
      <c r="O71" s="87">
        <f>(G71-(G71*I72))-L71</f>
        <v>65</v>
      </c>
      <c r="P71" s="175"/>
    </row>
    <row r="72" spans="1:16" ht="36.75" customHeight="1" thickTop="1" thickBot="1" x14ac:dyDescent="0.35">
      <c r="A72" s="6" t="str">
        <f>A70</f>
        <v>تسليم</v>
      </c>
      <c r="B72" s="179" t="s">
        <v>29</v>
      </c>
      <c r="C72" s="179"/>
      <c r="D72" s="179"/>
      <c r="E72" s="179"/>
      <c r="F72" s="179"/>
      <c r="G72" s="6">
        <f>SUM(G68:G71)</f>
        <v>1600</v>
      </c>
      <c r="H72" s="2" t="s">
        <v>30</v>
      </c>
      <c r="I72" s="3">
        <v>0</v>
      </c>
      <c r="J72" s="198"/>
      <c r="K72" s="183"/>
      <c r="L72" s="21">
        <f>SUM(L68:L70)</f>
        <v>1066.2</v>
      </c>
      <c r="M72" s="21"/>
      <c r="N72" s="21"/>
      <c r="O72" s="23">
        <f>SUM(O68:O71)</f>
        <v>198.8</v>
      </c>
      <c r="P72" s="175"/>
    </row>
    <row r="73" spans="1:16" ht="36.75" customHeight="1" thickTop="1" thickBot="1" x14ac:dyDescent="0.35">
      <c r="A73" s="4" t="s">
        <v>48</v>
      </c>
      <c r="B73" s="4" t="s">
        <v>0</v>
      </c>
      <c r="C73" s="4" t="s">
        <v>1</v>
      </c>
      <c r="D73" s="5" t="s">
        <v>2</v>
      </c>
      <c r="E73" s="4" t="s">
        <v>3</v>
      </c>
      <c r="F73" s="4" t="s">
        <v>11</v>
      </c>
      <c r="G73" s="4" t="s">
        <v>4</v>
      </c>
      <c r="H73" s="4" t="s">
        <v>15</v>
      </c>
      <c r="I73" s="4" t="s">
        <v>16</v>
      </c>
      <c r="J73" s="21" t="s">
        <v>5</v>
      </c>
      <c r="K73" s="21" t="s">
        <v>12</v>
      </c>
      <c r="L73" s="21" t="s">
        <v>13</v>
      </c>
      <c r="M73" s="21" t="s">
        <v>101</v>
      </c>
      <c r="N73" s="21" t="s">
        <v>100</v>
      </c>
      <c r="O73" s="21" t="s">
        <v>102</v>
      </c>
      <c r="P73" s="4" t="s">
        <v>5</v>
      </c>
    </row>
    <row r="74" spans="1:16" ht="36.75" customHeight="1" thickTop="1" thickBot="1" x14ac:dyDescent="0.35">
      <c r="A74" s="194" t="s">
        <v>48</v>
      </c>
      <c r="B74" s="180">
        <v>45934</v>
      </c>
      <c r="C74" s="194" t="s">
        <v>31</v>
      </c>
      <c r="D74" s="182" t="s">
        <v>47</v>
      </c>
      <c r="E74" s="7" t="s">
        <v>60</v>
      </c>
      <c r="F74" s="179" t="s">
        <v>21</v>
      </c>
      <c r="G74" s="7">
        <v>300</v>
      </c>
      <c r="H74" s="179" t="s">
        <v>33</v>
      </c>
      <c r="I74" s="179" t="s">
        <v>55</v>
      </c>
      <c r="J74" s="198">
        <f>(K74-(K74*I82))-L83</f>
        <v>1152.3999999999999</v>
      </c>
      <c r="K74" s="183">
        <f>314.2+300.2+329.4+318.8+32.1+29.8</f>
        <v>1324.4999999999998</v>
      </c>
      <c r="L74" s="21">
        <v>296</v>
      </c>
      <c r="M74" s="21">
        <v>296</v>
      </c>
      <c r="N74" s="21"/>
      <c r="O74" s="23">
        <f>(G74-(G74*I82))-L74</f>
        <v>4</v>
      </c>
      <c r="P74" s="175" t="s">
        <v>10</v>
      </c>
    </row>
    <row r="75" spans="1:16" ht="36.75" customHeight="1" thickTop="1" thickBot="1" x14ac:dyDescent="0.35">
      <c r="A75" s="194"/>
      <c r="B75" s="180"/>
      <c r="C75" s="194"/>
      <c r="D75" s="182"/>
      <c r="E75" s="7" t="s">
        <v>61</v>
      </c>
      <c r="F75" s="179"/>
      <c r="G75" s="7">
        <f>G74*14%</f>
        <v>42.000000000000007</v>
      </c>
      <c r="H75" s="179"/>
      <c r="I75" s="179"/>
      <c r="J75" s="198"/>
      <c r="K75" s="183"/>
      <c r="L75" s="21">
        <v>42.2</v>
      </c>
      <c r="M75" s="21">
        <f>42.2</f>
        <v>42.2</v>
      </c>
      <c r="N75" s="21"/>
      <c r="O75" s="23">
        <f>(G75-(G75*I82))-L75</f>
        <v>-0.19999999999999574</v>
      </c>
      <c r="P75" s="175"/>
    </row>
    <row r="76" spans="1:16" ht="36.75" customHeight="1" thickTop="1" thickBot="1" x14ac:dyDescent="0.35">
      <c r="A76" s="194" t="str">
        <f>A73</f>
        <v>تسليم</v>
      </c>
      <c r="B76" s="180">
        <v>45934</v>
      </c>
      <c r="C76" s="194" t="s">
        <v>31</v>
      </c>
      <c r="D76" s="182"/>
      <c r="E76" s="7" t="s">
        <v>60</v>
      </c>
      <c r="F76" s="179" t="s">
        <v>17</v>
      </c>
      <c r="G76" s="7">
        <v>300</v>
      </c>
      <c r="H76" s="179" t="s">
        <v>33</v>
      </c>
      <c r="I76" s="179" t="s">
        <v>55</v>
      </c>
      <c r="J76" s="198"/>
      <c r="K76" s="183"/>
      <c r="L76" s="21">
        <v>269.7</v>
      </c>
      <c r="M76" s="21">
        <v>269.7</v>
      </c>
      <c r="N76" s="21"/>
      <c r="O76" s="23">
        <f>(G76-(G76*I82))-L76</f>
        <v>30.300000000000011</v>
      </c>
      <c r="P76" s="175"/>
    </row>
    <row r="77" spans="1:16" ht="36.75" customHeight="1" thickTop="1" thickBot="1" x14ac:dyDescent="0.35">
      <c r="A77" s="194"/>
      <c r="B77" s="180"/>
      <c r="C77" s="194"/>
      <c r="D77" s="182"/>
      <c r="E77" s="7" t="s">
        <v>61</v>
      </c>
      <c r="F77" s="179"/>
      <c r="G77" s="7">
        <f>G76*14%</f>
        <v>42.000000000000007</v>
      </c>
      <c r="H77" s="179"/>
      <c r="I77" s="179"/>
      <c r="J77" s="198"/>
      <c r="K77" s="183"/>
      <c r="L77" s="21">
        <f>43</f>
        <v>43</v>
      </c>
      <c r="M77" s="21">
        <f>43</f>
        <v>43</v>
      </c>
      <c r="N77" s="21"/>
      <c r="O77" s="23">
        <f>(G77-(G77*I82))-L77</f>
        <v>-0.99999999999999289</v>
      </c>
      <c r="P77" s="175"/>
    </row>
    <row r="78" spans="1:16" ht="36.75" customHeight="1" thickTop="1" thickBot="1" x14ac:dyDescent="0.35">
      <c r="A78" s="194" t="str">
        <f>A73</f>
        <v>تسليم</v>
      </c>
      <c r="B78" s="180">
        <v>45934</v>
      </c>
      <c r="C78" s="194" t="s">
        <v>31</v>
      </c>
      <c r="D78" s="182"/>
      <c r="E78" s="7" t="s">
        <v>60</v>
      </c>
      <c r="F78" s="179" t="s">
        <v>50</v>
      </c>
      <c r="G78" s="7">
        <v>300</v>
      </c>
      <c r="H78" s="179" t="s">
        <v>33</v>
      </c>
      <c r="I78" s="179" t="s">
        <v>55</v>
      </c>
      <c r="J78" s="198"/>
      <c r="K78" s="183"/>
      <c r="L78" s="21">
        <v>291</v>
      </c>
      <c r="M78" s="21">
        <v>291</v>
      </c>
      <c r="N78" s="21"/>
      <c r="O78" s="23">
        <f>(G78-(G78*I82))-L78</f>
        <v>9</v>
      </c>
      <c r="P78" s="175"/>
    </row>
    <row r="79" spans="1:16" ht="36.75" customHeight="1" thickTop="1" thickBot="1" x14ac:dyDescent="0.35">
      <c r="A79" s="194"/>
      <c r="B79" s="180"/>
      <c r="C79" s="194"/>
      <c r="D79" s="182"/>
      <c r="E79" s="7" t="s">
        <v>61</v>
      </c>
      <c r="F79" s="179"/>
      <c r="G79" s="7">
        <f>G78*14%</f>
        <v>42.000000000000007</v>
      </c>
      <c r="H79" s="179"/>
      <c r="I79" s="179"/>
      <c r="J79" s="198"/>
      <c r="K79" s="183"/>
      <c r="L79" s="21">
        <f>44</f>
        <v>44</v>
      </c>
      <c r="M79" s="21">
        <f>44</f>
        <v>44</v>
      </c>
      <c r="N79" s="21"/>
      <c r="O79" s="23">
        <f>(G79-(G79*I82))-L79</f>
        <v>-1.9999999999999929</v>
      </c>
      <c r="P79" s="175"/>
    </row>
    <row r="80" spans="1:16" ht="36.75" customHeight="1" thickTop="1" thickBot="1" x14ac:dyDescent="0.35">
      <c r="A80" s="194" t="str">
        <f>A73</f>
        <v>تسليم</v>
      </c>
      <c r="B80" s="180">
        <v>45934</v>
      </c>
      <c r="C80" s="194" t="s">
        <v>31</v>
      </c>
      <c r="D80" s="182"/>
      <c r="E80" s="7" t="s">
        <v>60</v>
      </c>
      <c r="F80" s="179" t="s">
        <v>52</v>
      </c>
      <c r="G80" s="7">
        <v>300</v>
      </c>
      <c r="H80" s="179" t="s">
        <v>33</v>
      </c>
      <c r="I80" s="179" t="s">
        <v>55</v>
      </c>
      <c r="J80" s="198"/>
      <c r="K80" s="183"/>
      <c r="L80" s="21">
        <f>290.1</f>
        <v>290.10000000000002</v>
      </c>
      <c r="M80" s="21">
        <v>290.10000000000002</v>
      </c>
      <c r="N80" s="21"/>
      <c r="O80" s="23">
        <f>(G80-(G80*I82))-L80</f>
        <v>9.8999999999999773</v>
      </c>
      <c r="P80" s="175"/>
    </row>
    <row r="81" spans="1:16" ht="36.75" customHeight="1" thickTop="1" thickBot="1" x14ac:dyDescent="0.35">
      <c r="A81" s="194"/>
      <c r="B81" s="180"/>
      <c r="C81" s="194"/>
      <c r="D81" s="182"/>
      <c r="E81" s="7" t="s">
        <v>61</v>
      </c>
      <c r="F81" s="179"/>
      <c r="G81" s="7">
        <f>G80*14%</f>
        <v>42.000000000000007</v>
      </c>
      <c r="H81" s="179"/>
      <c r="I81" s="179"/>
      <c r="J81" s="198"/>
      <c r="K81" s="183"/>
      <c r="L81" s="21">
        <f>42.9</f>
        <v>42.9</v>
      </c>
      <c r="M81" s="21">
        <f>42.9</f>
        <v>42.9</v>
      </c>
      <c r="N81" s="21"/>
      <c r="O81" s="23">
        <f>(G81-(G81*I82))-L81</f>
        <v>-0.89999999999999147</v>
      </c>
      <c r="P81" s="175"/>
    </row>
    <row r="82" spans="1:16" ht="36.75" customHeight="1" thickTop="1" thickBot="1" x14ac:dyDescent="0.35">
      <c r="A82" s="202" t="str">
        <f>A74</f>
        <v>تسليم</v>
      </c>
      <c r="B82" s="199" t="s">
        <v>29</v>
      </c>
      <c r="C82" s="199"/>
      <c r="D82" s="199"/>
      <c r="E82" s="199"/>
      <c r="F82" s="12" t="s">
        <v>62</v>
      </c>
      <c r="G82" s="11">
        <f>G80+G78+G76+G74</f>
        <v>1200</v>
      </c>
      <c r="H82" s="200" t="s">
        <v>30</v>
      </c>
      <c r="I82" s="201">
        <v>0</v>
      </c>
      <c r="J82" s="22"/>
      <c r="K82" s="21"/>
      <c r="L82" s="42">
        <f>L74+L76+L78+L80</f>
        <v>1146.8000000000002</v>
      </c>
      <c r="M82" s="42">
        <f>M74+M76+M78+M80</f>
        <v>1146.8000000000002</v>
      </c>
      <c r="N82" s="42"/>
      <c r="O82" s="203">
        <f>SUM(O74:O81)</f>
        <v>49.100000000000016</v>
      </c>
      <c r="P82" s="175"/>
    </row>
    <row r="83" spans="1:16" ht="36.75" customHeight="1" thickTop="1" thickBot="1" x14ac:dyDescent="0.35">
      <c r="A83" s="202"/>
      <c r="B83" s="199"/>
      <c r="C83" s="199"/>
      <c r="D83" s="199"/>
      <c r="E83" s="199"/>
      <c r="F83" s="12" t="s">
        <v>63</v>
      </c>
      <c r="G83" s="12">
        <f>G81+G79+G77+G75</f>
        <v>168.00000000000003</v>
      </c>
      <c r="H83" s="200"/>
      <c r="I83" s="201"/>
      <c r="J83" s="22"/>
      <c r="K83" s="21"/>
      <c r="L83" s="21">
        <f>L75+L77+L79+L81</f>
        <v>172.1</v>
      </c>
      <c r="M83" s="21">
        <f>M75+M77+M79+M81</f>
        <v>172.1</v>
      </c>
      <c r="N83" s="21"/>
      <c r="O83" s="183"/>
      <c r="P83" s="175"/>
    </row>
    <row r="84" spans="1:16" ht="36.75" customHeight="1" thickTop="1" thickBot="1" x14ac:dyDescent="0.35">
      <c r="A84" s="4" t="s">
        <v>48</v>
      </c>
      <c r="B84" s="4" t="s">
        <v>0</v>
      </c>
      <c r="C84" s="4" t="s">
        <v>1</v>
      </c>
      <c r="D84" s="5" t="s">
        <v>2</v>
      </c>
      <c r="E84" s="4" t="s">
        <v>3</v>
      </c>
      <c r="F84" s="4" t="s">
        <v>11</v>
      </c>
      <c r="G84" s="4" t="s">
        <v>4</v>
      </c>
      <c r="H84" s="4" t="s">
        <v>15</v>
      </c>
      <c r="I84" s="4" t="s">
        <v>16</v>
      </c>
      <c r="J84" s="21" t="s">
        <v>56</v>
      </c>
      <c r="K84" s="21" t="s">
        <v>12</v>
      </c>
      <c r="L84" s="21" t="s">
        <v>13</v>
      </c>
      <c r="M84" s="21" t="s">
        <v>101</v>
      </c>
      <c r="N84" s="21" t="s">
        <v>100</v>
      </c>
      <c r="O84" s="21" t="s">
        <v>102</v>
      </c>
      <c r="P84" s="4" t="s">
        <v>5</v>
      </c>
    </row>
    <row r="85" spans="1:16" ht="36.75" customHeight="1" thickTop="1" thickBot="1" x14ac:dyDescent="0.35">
      <c r="A85" s="7" t="str">
        <f>A84</f>
        <v>تسليم</v>
      </c>
      <c r="B85" s="180">
        <v>45934</v>
      </c>
      <c r="C85" s="194" t="s">
        <v>31</v>
      </c>
      <c r="D85" s="182" t="s">
        <v>47</v>
      </c>
      <c r="E85" s="7" t="s">
        <v>64</v>
      </c>
      <c r="F85" s="6" t="s">
        <v>53</v>
      </c>
      <c r="G85" s="7">
        <v>300</v>
      </c>
      <c r="H85" s="6"/>
      <c r="I85" s="6" t="s">
        <v>66</v>
      </c>
      <c r="J85" s="198">
        <f>(K85-(K85*I90))-L90</f>
        <v>1321.6</v>
      </c>
      <c r="K85" s="183">
        <f>312.7+324.4+306.9+309.8+312+264.7</f>
        <v>1830.5</v>
      </c>
      <c r="L85" s="21"/>
      <c r="M85" s="21">
        <f>264</f>
        <v>264</v>
      </c>
      <c r="N85" s="21"/>
      <c r="O85" s="23">
        <f>(G85-(G85*I90))-L85</f>
        <v>300</v>
      </c>
      <c r="P85" s="175"/>
    </row>
    <row r="86" spans="1:16" ht="36.75" customHeight="1" thickTop="1" thickBot="1" x14ac:dyDescent="0.35">
      <c r="A86" s="7" t="str">
        <f>A84</f>
        <v>تسليم</v>
      </c>
      <c r="B86" s="180"/>
      <c r="C86" s="194"/>
      <c r="D86" s="182"/>
      <c r="E86" s="7" t="s">
        <v>64</v>
      </c>
      <c r="F86" s="6" t="s">
        <v>65</v>
      </c>
      <c r="G86" s="7">
        <v>300</v>
      </c>
      <c r="H86" s="6"/>
      <c r="I86" s="6" t="s">
        <v>66</v>
      </c>
      <c r="J86" s="198"/>
      <c r="K86" s="183"/>
      <c r="L86" s="21">
        <f>250.9</f>
        <v>250.9</v>
      </c>
      <c r="M86" s="21">
        <f>250.9</f>
        <v>250.9</v>
      </c>
      <c r="N86" s="21"/>
      <c r="O86" s="23">
        <f>(G86-(G86*I90))-L86</f>
        <v>49.099999999999994</v>
      </c>
      <c r="P86" s="175"/>
    </row>
    <row r="87" spans="1:16" ht="36.75" customHeight="1" thickTop="1" thickBot="1" x14ac:dyDescent="0.35">
      <c r="A87" s="7" t="str">
        <f>A84</f>
        <v>تسليم</v>
      </c>
      <c r="B87" s="180"/>
      <c r="C87" s="194"/>
      <c r="D87" s="182"/>
      <c r="E87" s="7" t="s">
        <v>64</v>
      </c>
      <c r="F87" s="6" t="s">
        <v>50</v>
      </c>
      <c r="G87" s="7">
        <v>300</v>
      </c>
      <c r="H87" s="6"/>
      <c r="I87" s="6" t="s">
        <v>66</v>
      </c>
      <c r="J87" s="198"/>
      <c r="K87" s="183"/>
      <c r="L87" s="21"/>
      <c r="M87" s="21">
        <f>234</f>
        <v>234</v>
      </c>
      <c r="N87" s="21"/>
      <c r="O87" s="23">
        <f>(G87-(G87*I90))-L87</f>
        <v>300</v>
      </c>
      <c r="P87" s="175"/>
    </row>
    <row r="88" spans="1:16" ht="36.75" customHeight="1" thickTop="1" thickBot="1" x14ac:dyDescent="0.35">
      <c r="A88" s="7" t="str">
        <f>A84</f>
        <v>تسليم</v>
      </c>
      <c r="B88" s="180"/>
      <c r="C88" s="194"/>
      <c r="D88" s="182"/>
      <c r="E88" s="7" t="s">
        <v>64</v>
      </c>
      <c r="F88" s="6" t="s">
        <v>52</v>
      </c>
      <c r="G88" s="7">
        <v>300</v>
      </c>
      <c r="H88" s="6"/>
      <c r="I88" s="6" t="s">
        <v>66</v>
      </c>
      <c r="J88" s="198"/>
      <c r="K88" s="183"/>
      <c r="L88" s="21">
        <f>258</f>
        <v>258</v>
      </c>
      <c r="M88" s="21">
        <f>258</f>
        <v>258</v>
      </c>
      <c r="N88" s="21"/>
      <c r="O88" s="23">
        <f>(G88-(G88*I90))-L88</f>
        <v>42</v>
      </c>
      <c r="P88" s="175"/>
    </row>
    <row r="89" spans="1:16" ht="36.75" customHeight="1" thickTop="1" thickBot="1" x14ac:dyDescent="0.35">
      <c r="A89" s="7" t="str">
        <f>A84</f>
        <v>تسليم</v>
      </c>
      <c r="B89" s="180"/>
      <c r="C89" s="194"/>
      <c r="D89" s="182"/>
      <c r="E89" s="7" t="s">
        <v>64</v>
      </c>
      <c r="F89" s="6" t="s">
        <v>39</v>
      </c>
      <c r="G89" s="7">
        <v>300</v>
      </c>
      <c r="H89" s="6"/>
      <c r="I89" s="6" t="s">
        <v>66</v>
      </c>
      <c r="J89" s="198"/>
      <c r="K89" s="183"/>
      <c r="L89" s="21"/>
      <c r="M89" s="21">
        <f>253.3</f>
        <v>253.3</v>
      </c>
      <c r="N89" s="21"/>
      <c r="O89" s="23">
        <f>(G89-(G89*I90))-L89</f>
        <v>300</v>
      </c>
      <c r="P89" s="175"/>
    </row>
    <row r="90" spans="1:16" ht="36.75" customHeight="1" thickTop="1" thickBot="1" x14ac:dyDescent="0.35">
      <c r="A90" s="7" t="str">
        <f>A84</f>
        <v>تسليم</v>
      </c>
      <c r="B90" s="179" t="s">
        <v>29</v>
      </c>
      <c r="C90" s="179"/>
      <c r="D90" s="179"/>
      <c r="E90" s="179"/>
      <c r="F90" s="179"/>
      <c r="G90" s="6">
        <f>SUM(G85:G89)</f>
        <v>1500</v>
      </c>
      <c r="H90" s="2" t="s">
        <v>30</v>
      </c>
      <c r="I90" s="3">
        <v>0</v>
      </c>
      <c r="J90" s="198"/>
      <c r="K90" s="183"/>
      <c r="L90" s="21">
        <f>SUM(L85:L89)</f>
        <v>508.9</v>
      </c>
      <c r="M90" s="21"/>
      <c r="N90" s="21"/>
      <c r="O90" s="23">
        <f>SUM(O85:O89)</f>
        <v>991.1</v>
      </c>
      <c r="P90" s="175"/>
    </row>
    <row r="91" spans="1:16" ht="24" thickTop="1" thickBot="1" x14ac:dyDescent="0.35">
      <c r="A91" s="45" t="s">
        <v>77</v>
      </c>
      <c r="B91" s="45" t="s">
        <v>0</v>
      </c>
      <c r="C91" s="45" t="s">
        <v>1</v>
      </c>
      <c r="D91" s="46" t="s">
        <v>2</v>
      </c>
      <c r="E91" s="45" t="s">
        <v>3</v>
      </c>
      <c r="F91" s="45" t="s">
        <v>11</v>
      </c>
      <c r="G91" s="45" t="s">
        <v>4</v>
      </c>
      <c r="H91" s="45" t="s">
        <v>15</v>
      </c>
      <c r="I91" s="45" t="s">
        <v>16</v>
      </c>
      <c r="J91" s="45" t="s">
        <v>56</v>
      </c>
      <c r="K91" s="45" t="s">
        <v>12</v>
      </c>
      <c r="L91" s="45" t="s">
        <v>13</v>
      </c>
      <c r="M91" s="45"/>
      <c r="N91" s="45"/>
      <c r="O91" s="45" t="s">
        <v>14</v>
      </c>
      <c r="P91" s="45" t="s">
        <v>5</v>
      </c>
    </row>
    <row r="92" spans="1:16" ht="24" thickTop="1" thickBot="1" x14ac:dyDescent="0.35">
      <c r="A92" s="7" t="str">
        <f>A91</f>
        <v>ملغي</v>
      </c>
      <c r="B92" s="164">
        <v>45934</v>
      </c>
      <c r="C92" s="166" t="s">
        <v>150</v>
      </c>
      <c r="D92" s="168" t="s">
        <v>47</v>
      </c>
      <c r="E92" s="7" t="s">
        <v>51</v>
      </c>
      <c r="F92" s="6" t="s">
        <v>17</v>
      </c>
      <c r="G92" s="7">
        <v>300</v>
      </c>
      <c r="H92" s="6"/>
      <c r="I92" s="6" t="s">
        <v>66</v>
      </c>
      <c r="J92" s="205">
        <f>(K92-(K92*I98))-L98</f>
        <v>0</v>
      </c>
      <c r="K92" s="158"/>
      <c r="L92" s="6"/>
      <c r="M92" s="6"/>
      <c r="N92" s="6"/>
      <c r="O92" s="8">
        <f>(G92-(G92*I98))-L92</f>
        <v>300</v>
      </c>
      <c r="P92" s="184"/>
    </row>
    <row r="93" spans="1:16" ht="24" thickTop="1" thickBot="1" x14ac:dyDescent="0.35">
      <c r="A93" s="7" t="str">
        <f>A91</f>
        <v>ملغي</v>
      </c>
      <c r="B93" s="165"/>
      <c r="C93" s="167"/>
      <c r="D93" s="169"/>
      <c r="E93" s="7" t="s">
        <v>51</v>
      </c>
      <c r="F93" s="6" t="s">
        <v>21</v>
      </c>
      <c r="G93" s="7">
        <v>300</v>
      </c>
      <c r="H93" s="6"/>
      <c r="I93" s="6" t="s">
        <v>66</v>
      </c>
      <c r="J93" s="206"/>
      <c r="K93" s="159"/>
      <c r="L93" s="6"/>
      <c r="M93" s="6"/>
      <c r="N93" s="6"/>
      <c r="O93" s="8">
        <f>(G93-(G93*I98))-L93</f>
        <v>300</v>
      </c>
      <c r="P93" s="204"/>
    </row>
    <row r="94" spans="1:16" ht="24" thickTop="1" thickBot="1" x14ac:dyDescent="0.35">
      <c r="A94" s="7" t="str">
        <f>A91</f>
        <v>ملغي</v>
      </c>
      <c r="B94" s="165"/>
      <c r="C94" s="167"/>
      <c r="D94" s="169"/>
      <c r="E94" s="7" t="s">
        <v>51</v>
      </c>
      <c r="F94" s="6" t="s">
        <v>20</v>
      </c>
      <c r="G94" s="7">
        <v>300</v>
      </c>
      <c r="H94" s="6"/>
      <c r="I94" s="6" t="s">
        <v>66</v>
      </c>
      <c r="J94" s="206"/>
      <c r="K94" s="159"/>
      <c r="L94" s="6"/>
      <c r="M94" s="6"/>
      <c r="N94" s="6"/>
      <c r="O94" s="8">
        <f>(G94-(G94*I98))-L94</f>
        <v>300</v>
      </c>
      <c r="P94" s="204"/>
    </row>
    <row r="95" spans="1:16" ht="24" thickTop="1" thickBot="1" x14ac:dyDescent="0.35">
      <c r="A95" s="7" t="str">
        <f>A91</f>
        <v>ملغي</v>
      </c>
      <c r="B95" s="165"/>
      <c r="C95" s="167"/>
      <c r="D95" s="169"/>
      <c r="E95" s="7" t="s">
        <v>51</v>
      </c>
      <c r="F95" s="6" t="s">
        <v>67</v>
      </c>
      <c r="G95" s="7">
        <v>300</v>
      </c>
      <c r="H95" s="6"/>
      <c r="I95" s="6" t="s">
        <v>66</v>
      </c>
      <c r="J95" s="206"/>
      <c r="K95" s="159"/>
      <c r="L95" s="6"/>
      <c r="M95" s="6"/>
      <c r="N95" s="6"/>
      <c r="O95" s="8">
        <f>(G95-(G95*I98))-L95</f>
        <v>300</v>
      </c>
      <c r="P95" s="204"/>
    </row>
    <row r="96" spans="1:16" ht="24" thickTop="1" thickBot="1" x14ac:dyDescent="0.35">
      <c r="A96" s="7" t="str">
        <f>A92</f>
        <v>ملغي</v>
      </c>
      <c r="B96" s="165"/>
      <c r="C96" s="167"/>
      <c r="D96" s="169"/>
      <c r="E96" s="7" t="s">
        <v>51</v>
      </c>
      <c r="F96" s="6" t="s">
        <v>68</v>
      </c>
      <c r="G96" s="7">
        <v>300</v>
      </c>
      <c r="H96" s="6"/>
      <c r="I96" s="6" t="s">
        <v>66</v>
      </c>
      <c r="J96" s="206"/>
      <c r="K96" s="159"/>
      <c r="L96" s="6"/>
      <c r="M96" s="6"/>
      <c r="N96" s="6"/>
      <c r="O96" s="8">
        <f>(G96-(G96*I98))-L96</f>
        <v>300</v>
      </c>
      <c r="P96" s="204"/>
    </row>
    <row r="97" spans="1:16" ht="24" thickTop="1" thickBot="1" x14ac:dyDescent="0.35">
      <c r="A97" s="7" t="str">
        <f>A91</f>
        <v>ملغي</v>
      </c>
      <c r="B97" s="170"/>
      <c r="C97" s="171"/>
      <c r="D97" s="172"/>
      <c r="E97" s="7" t="s">
        <v>51</v>
      </c>
      <c r="F97" s="6" t="s">
        <v>71</v>
      </c>
      <c r="G97" s="7">
        <v>300</v>
      </c>
      <c r="H97" s="6"/>
      <c r="I97" s="6" t="s">
        <v>66</v>
      </c>
      <c r="J97" s="206"/>
      <c r="K97" s="159"/>
      <c r="L97" s="6"/>
      <c r="M97" s="6"/>
      <c r="N97" s="6"/>
      <c r="O97" s="8">
        <f>(G97-(G97*I98))-L97</f>
        <v>300</v>
      </c>
      <c r="P97" s="204"/>
    </row>
    <row r="98" spans="1:16" ht="24" thickTop="1" thickBot="1" x14ac:dyDescent="0.35">
      <c r="A98" s="7" t="str">
        <f>A91</f>
        <v>ملغي</v>
      </c>
      <c r="B98" s="161" t="s">
        <v>29</v>
      </c>
      <c r="C98" s="162"/>
      <c r="D98" s="162"/>
      <c r="E98" s="162"/>
      <c r="F98" s="163"/>
      <c r="G98" s="6">
        <f>SUM(G92:G97)</f>
        <v>1800</v>
      </c>
      <c r="H98" s="2" t="s">
        <v>30</v>
      </c>
      <c r="I98" s="3">
        <v>0</v>
      </c>
      <c r="J98" s="207"/>
      <c r="K98" s="160"/>
      <c r="L98" s="6">
        <f>SUM(L92:L97)</f>
        <v>0</v>
      </c>
      <c r="M98" s="6"/>
      <c r="N98" s="6"/>
      <c r="O98" s="8">
        <f>SUM(O92:O97)</f>
        <v>1800</v>
      </c>
      <c r="P98" s="193"/>
    </row>
    <row r="99" spans="1:16" ht="36.75" customHeight="1" thickTop="1" thickBot="1" x14ac:dyDescent="0.35">
      <c r="A99" s="4" t="s">
        <v>48</v>
      </c>
      <c r="B99" s="4" t="s">
        <v>0</v>
      </c>
      <c r="C99" s="4" t="s">
        <v>1</v>
      </c>
      <c r="D99" s="5" t="s">
        <v>2</v>
      </c>
      <c r="E99" s="4" t="s">
        <v>3</v>
      </c>
      <c r="F99" s="4" t="s">
        <v>11</v>
      </c>
      <c r="G99" s="4" t="s">
        <v>4</v>
      </c>
      <c r="H99" s="4" t="s">
        <v>15</v>
      </c>
      <c r="I99" s="4" t="s">
        <v>16</v>
      </c>
      <c r="J99" s="21" t="s">
        <v>56</v>
      </c>
      <c r="K99" s="21" t="s">
        <v>12</v>
      </c>
      <c r="L99" s="21" t="s">
        <v>13</v>
      </c>
      <c r="M99" s="21" t="s">
        <v>101</v>
      </c>
      <c r="N99" s="21" t="s">
        <v>100</v>
      </c>
      <c r="O99" s="21" t="s">
        <v>102</v>
      </c>
      <c r="P99" s="4" t="s">
        <v>5</v>
      </c>
    </row>
    <row r="100" spans="1:16" ht="36.75" customHeight="1" thickTop="1" thickBot="1" x14ac:dyDescent="0.35">
      <c r="A100" s="7" t="s">
        <v>48</v>
      </c>
      <c r="B100" s="164">
        <v>45934</v>
      </c>
      <c r="C100" s="166" t="s">
        <v>8</v>
      </c>
      <c r="D100" s="168" t="s">
        <v>47</v>
      </c>
      <c r="E100" s="7" t="s">
        <v>51</v>
      </c>
      <c r="F100" s="6" t="s">
        <v>69</v>
      </c>
      <c r="G100" s="7">
        <v>1000</v>
      </c>
      <c r="H100" s="6" t="s">
        <v>18</v>
      </c>
      <c r="I100" s="6" t="s">
        <v>75</v>
      </c>
      <c r="J100" s="154">
        <f>(K100-(K100*I117))-L117</f>
        <v>-1263.6999999999989</v>
      </c>
      <c r="K100" s="156">
        <f>I116</f>
        <v>10000</v>
      </c>
      <c r="L100" s="21">
        <f>492+656.7</f>
        <v>1148.7</v>
      </c>
      <c r="M100" s="21">
        <f>492+656.7</f>
        <v>1148.7</v>
      </c>
      <c r="N100" s="21"/>
      <c r="O100" s="23">
        <f>(G100-(G100*I117))-L100</f>
        <v>-148.70000000000005</v>
      </c>
      <c r="P100" s="175" t="s">
        <v>57</v>
      </c>
    </row>
    <row r="101" spans="1:16" ht="36.75" customHeight="1" thickTop="1" thickBot="1" x14ac:dyDescent="0.35">
      <c r="A101" s="7" t="s">
        <v>48</v>
      </c>
      <c r="B101" s="165"/>
      <c r="C101" s="167"/>
      <c r="D101" s="169"/>
      <c r="E101" s="7" t="s">
        <v>95</v>
      </c>
      <c r="F101" s="6" t="s">
        <v>69</v>
      </c>
      <c r="G101" s="7">
        <f>G100*F116</f>
        <v>150</v>
      </c>
      <c r="H101" s="6"/>
      <c r="I101" s="6"/>
      <c r="J101" s="155"/>
      <c r="K101" s="157"/>
      <c r="L101" s="21">
        <f>60.2+141</f>
        <v>201.2</v>
      </c>
      <c r="M101" s="21">
        <f>60.2+141</f>
        <v>201.2</v>
      </c>
      <c r="N101" s="21"/>
      <c r="O101" s="23">
        <f>(G101-(G101*I117))-L101</f>
        <v>-51.199999999999989</v>
      </c>
      <c r="P101" s="175"/>
    </row>
    <row r="102" spans="1:16" ht="36.75" customHeight="1" thickTop="1" thickBot="1" x14ac:dyDescent="0.35">
      <c r="A102" s="7" t="s">
        <v>48</v>
      </c>
      <c r="B102" s="165"/>
      <c r="C102" s="167"/>
      <c r="D102" s="169"/>
      <c r="E102" s="7" t="s">
        <v>51</v>
      </c>
      <c r="F102" s="6" t="s">
        <v>70</v>
      </c>
      <c r="G102" s="7">
        <v>1000</v>
      </c>
      <c r="H102" s="6" t="s">
        <v>18</v>
      </c>
      <c r="I102" s="6" t="s">
        <v>75</v>
      </c>
      <c r="J102" s="155"/>
      <c r="K102" s="157"/>
      <c r="L102" s="21">
        <f>552.8+676</f>
        <v>1228.8</v>
      </c>
      <c r="M102" s="21">
        <f>507.8+676</f>
        <v>1183.8</v>
      </c>
      <c r="N102" s="21"/>
      <c r="O102" s="23">
        <f>(G102-(G102*I117))-L102</f>
        <v>-228.79999999999995</v>
      </c>
      <c r="P102" s="175"/>
    </row>
    <row r="103" spans="1:16" ht="36.75" customHeight="1" thickTop="1" thickBot="1" x14ac:dyDescent="0.35">
      <c r="A103" s="7" t="str">
        <f t="shared" ref="A103:A116" si="6">A102</f>
        <v>تسليم</v>
      </c>
      <c r="B103" s="165"/>
      <c r="C103" s="167"/>
      <c r="D103" s="169"/>
      <c r="E103" s="7" t="s">
        <v>95</v>
      </c>
      <c r="F103" s="6" t="s">
        <v>70</v>
      </c>
      <c r="G103" s="7">
        <f>G102*F116</f>
        <v>150</v>
      </c>
      <c r="H103" s="6"/>
      <c r="I103" s="6"/>
      <c r="J103" s="155"/>
      <c r="K103" s="157"/>
      <c r="L103" s="21">
        <f>111+86</f>
        <v>197</v>
      </c>
      <c r="M103" s="21">
        <f>111+86</f>
        <v>197</v>
      </c>
      <c r="N103" s="21"/>
      <c r="O103" s="23">
        <f>(G103-(G103*I117))-L103</f>
        <v>-47</v>
      </c>
      <c r="P103" s="175"/>
    </row>
    <row r="104" spans="1:16" ht="36.75" customHeight="1" thickTop="1" thickBot="1" x14ac:dyDescent="0.35">
      <c r="A104" s="7" t="s">
        <v>48</v>
      </c>
      <c r="B104" s="165"/>
      <c r="C104" s="167"/>
      <c r="D104" s="169"/>
      <c r="E104" s="7" t="s">
        <v>51</v>
      </c>
      <c r="F104" s="6" t="s">
        <v>20</v>
      </c>
      <c r="G104" s="7">
        <v>1000</v>
      </c>
      <c r="H104" s="6" t="s">
        <v>18</v>
      </c>
      <c r="I104" s="6" t="s">
        <v>75</v>
      </c>
      <c r="J104" s="155"/>
      <c r="K104" s="157"/>
      <c r="L104" s="21">
        <f>546+486.6</f>
        <v>1032.5999999999999</v>
      </c>
      <c r="M104" s="21">
        <f>546+486.6</f>
        <v>1032.5999999999999</v>
      </c>
      <c r="N104" s="21"/>
      <c r="O104" s="23">
        <f>(G104-(G104*I117))-L104</f>
        <v>-32.599999999999909</v>
      </c>
      <c r="P104" s="175"/>
    </row>
    <row r="105" spans="1:16" ht="36.75" customHeight="1" thickTop="1" thickBot="1" x14ac:dyDescent="0.35">
      <c r="A105" s="7" t="s">
        <v>48</v>
      </c>
      <c r="B105" s="165"/>
      <c r="C105" s="167"/>
      <c r="D105" s="169"/>
      <c r="E105" s="7" t="s">
        <v>95</v>
      </c>
      <c r="F105" s="6" t="s">
        <v>20</v>
      </c>
      <c r="G105" s="7">
        <f>G104*F116</f>
        <v>150</v>
      </c>
      <c r="H105" s="6"/>
      <c r="I105" s="6"/>
      <c r="J105" s="155"/>
      <c r="K105" s="157"/>
      <c r="L105" s="21">
        <f>113+75</f>
        <v>188</v>
      </c>
      <c r="M105" s="21">
        <f>113+75</f>
        <v>188</v>
      </c>
      <c r="N105" s="21"/>
      <c r="O105" s="23">
        <f>(G105-(G105*I117))-L105</f>
        <v>-38</v>
      </c>
      <c r="P105" s="175"/>
    </row>
    <row r="106" spans="1:16" ht="36.75" customHeight="1" thickTop="1" thickBot="1" x14ac:dyDescent="0.35">
      <c r="A106" s="7" t="s">
        <v>48</v>
      </c>
      <c r="B106" s="165"/>
      <c r="C106" s="167"/>
      <c r="D106" s="169"/>
      <c r="E106" s="7" t="s">
        <v>51</v>
      </c>
      <c r="F106" s="6" t="s">
        <v>71</v>
      </c>
      <c r="G106" s="7">
        <v>1000</v>
      </c>
      <c r="H106" s="6" t="s">
        <v>18</v>
      </c>
      <c r="I106" s="6" t="s">
        <v>75</v>
      </c>
      <c r="J106" s="155"/>
      <c r="K106" s="157"/>
      <c r="L106" s="21">
        <f>610+418.2</f>
        <v>1028.2</v>
      </c>
      <c r="M106" s="21">
        <f>610+418.2</f>
        <v>1028.2</v>
      </c>
      <c r="N106" s="21"/>
      <c r="O106" s="23">
        <f>(G106-(G106*I117))-L106</f>
        <v>-28.200000000000045</v>
      </c>
      <c r="P106" s="175"/>
    </row>
    <row r="107" spans="1:16" ht="36.75" customHeight="1" thickTop="1" thickBot="1" x14ac:dyDescent="0.35">
      <c r="A107" s="7" t="str">
        <f t="shared" si="6"/>
        <v>تسليم</v>
      </c>
      <c r="B107" s="165"/>
      <c r="C107" s="167"/>
      <c r="D107" s="169"/>
      <c r="E107" s="7" t="s">
        <v>95</v>
      </c>
      <c r="F107" s="6" t="s">
        <v>71</v>
      </c>
      <c r="G107" s="7">
        <f>G106*F116</f>
        <v>150</v>
      </c>
      <c r="H107" s="6"/>
      <c r="I107" s="6"/>
      <c r="J107" s="155"/>
      <c r="K107" s="157"/>
      <c r="L107" s="21">
        <f>89.4+83</f>
        <v>172.4</v>
      </c>
      <c r="M107" s="21">
        <f>89.4+83</f>
        <v>172.4</v>
      </c>
      <c r="N107" s="21"/>
      <c r="O107" s="23">
        <f>(G107-(G107*I117))-L107</f>
        <v>-22.400000000000006</v>
      </c>
      <c r="P107" s="175"/>
    </row>
    <row r="108" spans="1:16" ht="36.75" customHeight="1" thickTop="1" thickBot="1" x14ac:dyDescent="0.35">
      <c r="A108" s="7" t="str">
        <f t="shared" si="6"/>
        <v>تسليم</v>
      </c>
      <c r="B108" s="165"/>
      <c r="C108" s="167"/>
      <c r="D108" s="169"/>
      <c r="E108" s="7" t="s">
        <v>51</v>
      </c>
      <c r="F108" s="6" t="s">
        <v>72</v>
      </c>
      <c r="G108" s="7">
        <v>1000</v>
      </c>
      <c r="H108" s="6" t="s">
        <v>18</v>
      </c>
      <c r="I108" s="6" t="s">
        <v>75</v>
      </c>
      <c r="J108" s="155"/>
      <c r="K108" s="157"/>
      <c r="L108" s="21">
        <v>538</v>
      </c>
      <c r="M108" s="21">
        <f>538</f>
        <v>538</v>
      </c>
      <c r="N108" s="21"/>
      <c r="O108" s="23">
        <f>(G108-(G108*I117))-L108</f>
        <v>462</v>
      </c>
      <c r="P108" s="175"/>
    </row>
    <row r="109" spans="1:16" ht="36.75" customHeight="1" thickTop="1" thickBot="1" x14ac:dyDescent="0.35">
      <c r="A109" s="7" t="str">
        <f t="shared" si="6"/>
        <v>تسليم</v>
      </c>
      <c r="B109" s="165"/>
      <c r="C109" s="167"/>
      <c r="D109" s="169"/>
      <c r="E109" s="7" t="s">
        <v>95</v>
      </c>
      <c r="F109" s="6" t="s">
        <v>72</v>
      </c>
      <c r="G109" s="7">
        <f>G108*F116</f>
        <v>150</v>
      </c>
      <c r="H109" s="6"/>
      <c r="I109" s="6"/>
      <c r="J109" s="155"/>
      <c r="K109" s="157"/>
      <c r="L109" s="21">
        <v>85.9</v>
      </c>
      <c r="M109" s="21">
        <f>85.9</f>
        <v>85.9</v>
      </c>
      <c r="N109" s="21"/>
      <c r="O109" s="23">
        <f>(G109-(G109*I117))-L109</f>
        <v>64.099999999999994</v>
      </c>
      <c r="P109" s="175"/>
    </row>
    <row r="110" spans="1:16" ht="36.75" customHeight="1" thickTop="1" thickBot="1" x14ac:dyDescent="0.35">
      <c r="A110" s="7" t="str">
        <f t="shared" si="6"/>
        <v>تسليم</v>
      </c>
      <c r="B110" s="165"/>
      <c r="C110" s="167"/>
      <c r="D110" s="169"/>
      <c r="E110" s="7" t="s">
        <v>51</v>
      </c>
      <c r="F110" s="6" t="s">
        <v>73</v>
      </c>
      <c r="G110" s="7">
        <v>1000</v>
      </c>
      <c r="H110" s="6" t="s">
        <v>18</v>
      </c>
      <c r="I110" s="6" t="s">
        <v>75</v>
      </c>
      <c r="J110" s="155"/>
      <c r="K110" s="157"/>
      <c r="L110" s="21">
        <f>571.2+558.3</f>
        <v>1129.5</v>
      </c>
      <c r="M110" s="21">
        <f>571.2+558.3</f>
        <v>1129.5</v>
      </c>
      <c r="N110" s="21"/>
      <c r="O110" s="23">
        <f>(G110-(G110*I117))-L110</f>
        <v>-129.5</v>
      </c>
      <c r="P110" s="175"/>
    </row>
    <row r="111" spans="1:16" ht="36.75" customHeight="1" thickTop="1" thickBot="1" x14ac:dyDescent="0.35">
      <c r="A111" s="7" t="str">
        <f t="shared" si="6"/>
        <v>تسليم</v>
      </c>
      <c r="B111" s="165"/>
      <c r="C111" s="167"/>
      <c r="D111" s="169"/>
      <c r="E111" s="7" t="s">
        <v>95</v>
      </c>
      <c r="F111" s="6" t="s">
        <v>73</v>
      </c>
      <c r="G111" s="7">
        <f>G110*F116</f>
        <v>150</v>
      </c>
      <c r="H111" s="6"/>
      <c r="I111" s="6"/>
      <c r="J111" s="155"/>
      <c r="K111" s="157"/>
      <c r="L111" s="21">
        <f>85.1+41</f>
        <v>126.1</v>
      </c>
      <c r="M111" s="21">
        <f>85.1+41</f>
        <v>126.1</v>
      </c>
      <c r="N111" s="21"/>
      <c r="O111" s="23">
        <f>(G111-(G111*I117))-L111</f>
        <v>23.900000000000006</v>
      </c>
      <c r="P111" s="175"/>
    </row>
    <row r="112" spans="1:16" ht="36.75" customHeight="1" thickTop="1" thickBot="1" x14ac:dyDescent="0.35">
      <c r="A112" s="7" t="s">
        <v>48</v>
      </c>
      <c r="B112" s="165"/>
      <c r="C112" s="167"/>
      <c r="D112" s="169"/>
      <c r="E112" s="7" t="s">
        <v>51</v>
      </c>
      <c r="F112" s="6" t="s">
        <v>74</v>
      </c>
      <c r="G112" s="7">
        <v>1000</v>
      </c>
      <c r="H112" s="6" t="s">
        <v>18</v>
      </c>
      <c r="I112" s="6" t="s">
        <v>75</v>
      </c>
      <c r="J112" s="155"/>
      <c r="K112" s="157"/>
      <c r="L112" s="21">
        <f>492+505</f>
        <v>997</v>
      </c>
      <c r="M112" s="21">
        <f>492+505</f>
        <v>997</v>
      </c>
      <c r="N112" s="21"/>
      <c r="O112" s="23">
        <f>(G112-(G112*I117))-L112</f>
        <v>3</v>
      </c>
      <c r="P112" s="175"/>
    </row>
    <row r="113" spans="1:16" ht="36.75" customHeight="1" thickTop="1" thickBot="1" x14ac:dyDescent="0.35">
      <c r="A113" s="7" t="s">
        <v>48</v>
      </c>
      <c r="B113" s="165"/>
      <c r="C113" s="167"/>
      <c r="D113" s="169"/>
      <c r="E113" s="7" t="s">
        <v>95</v>
      </c>
      <c r="F113" s="6" t="s">
        <v>74</v>
      </c>
      <c r="G113" s="7">
        <f>G112*F116</f>
        <v>150</v>
      </c>
      <c r="H113" s="6"/>
      <c r="I113" s="6"/>
      <c r="J113" s="155"/>
      <c r="K113" s="157"/>
      <c r="L113" s="21">
        <f>95.5+64</f>
        <v>159.5</v>
      </c>
      <c r="M113" s="21">
        <f>95.5+64</f>
        <v>159.5</v>
      </c>
      <c r="N113" s="21"/>
      <c r="O113" s="23">
        <f>(G113-(G113*I117))-L113</f>
        <v>-9.5</v>
      </c>
      <c r="P113" s="175"/>
    </row>
    <row r="114" spans="1:16" ht="36.75" customHeight="1" thickTop="1" thickBot="1" x14ac:dyDescent="0.35">
      <c r="A114" s="7" t="s">
        <v>48</v>
      </c>
      <c r="B114" s="165"/>
      <c r="C114" s="167"/>
      <c r="D114" s="169"/>
      <c r="E114" s="7" t="s">
        <v>51</v>
      </c>
      <c r="F114" s="6" t="s">
        <v>17</v>
      </c>
      <c r="G114" s="7">
        <v>3000</v>
      </c>
      <c r="H114" s="6" t="s">
        <v>18</v>
      </c>
      <c r="I114" s="6" t="s">
        <v>75</v>
      </c>
      <c r="J114" s="155"/>
      <c r="K114" s="157"/>
      <c r="L114" s="21">
        <f>678+504+200.2+1270.3</f>
        <v>2652.5</v>
      </c>
      <c r="M114" s="21">
        <f>678+504+200.2+1270.3</f>
        <v>2652.5</v>
      </c>
      <c r="N114" s="21"/>
      <c r="O114" s="23">
        <f>(G114-(G114*I117))-L114</f>
        <v>347.5</v>
      </c>
      <c r="P114" s="175"/>
    </row>
    <row r="115" spans="1:16" ht="36.75" customHeight="1" thickTop="1" thickBot="1" x14ac:dyDescent="0.35">
      <c r="A115" s="7" t="str">
        <f t="shared" si="6"/>
        <v>تسليم</v>
      </c>
      <c r="B115" s="165"/>
      <c r="C115" s="167"/>
      <c r="D115" s="169"/>
      <c r="E115" s="7" t="s">
        <v>95</v>
      </c>
      <c r="F115" s="6" t="s">
        <v>17</v>
      </c>
      <c r="G115" s="7">
        <f>G114*F116</f>
        <v>450</v>
      </c>
      <c r="H115" s="6"/>
      <c r="I115" s="6"/>
      <c r="J115" s="173"/>
      <c r="K115" s="174"/>
      <c r="L115" s="21">
        <f>52.5+78.8+31+216</f>
        <v>378.3</v>
      </c>
      <c r="M115" s="21">
        <f>52.5+78.8+31+216</f>
        <v>378.3</v>
      </c>
      <c r="N115" s="21"/>
      <c r="O115" s="23">
        <f>(G115-(G115*I117))-L115</f>
        <v>71.699999999999989</v>
      </c>
      <c r="P115" s="175"/>
    </row>
    <row r="116" spans="1:16" ht="36.75" customHeight="1" thickTop="1" thickBot="1" x14ac:dyDescent="0.35">
      <c r="A116" s="7" t="str">
        <f t="shared" si="6"/>
        <v>تسليم</v>
      </c>
      <c r="B116" s="170"/>
      <c r="C116" s="171"/>
      <c r="D116" s="172"/>
      <c r="E116" s="11" t="s">
        <v>95</v>
      </c>
      <c r="F116" s="15">
        <v>0.15</v>
      </c>
      <c r="G116" s="11">
        <f>G101+G103+G105+G107+G109+G111+G113+G115</f>
        <v>1500</v>
      </c>
      <c r="H116" s="12" t="s">
        <v>103</v>
      </c>
      <c r="I116" s="12">
        <f>G117</f>
        <v>10000</v>
      </c>
      <c r="J116" s="22">
        <f>(K116-(K116*I117))-L116</f>
        <v>1500</v>
      </c>
      <c r="K116" s="21">
        <f>G116</f>
        <v>1500</v>
      </c>
      <c r="L116" s="21"/>
      <c r="M116" s="21"/>
      <c r="N116" s="21"/>
      <c r="O116" s="23">
        <f>(G116-(G116*I117))-L116</f>
        <v>1500</v>
      </c>
      <c r="P116" s="175"/>
    </row>
    <row r="117" spans="1:16" ht="36.75" customHeight="1" thickTop="1" thickBot="1" x14ac:dyDescent="0.35">
      <c r="A117" s="17" t="str">
        <f>A99</f>
        <v>تسليم</v>
      </c>
      <c r="B117" s="158" t="s">
        <v>29</v>
      </c>
      <c r="C117" s="158"/>
      <c r="D117" s="158"/>
      <c r="E117" s="158"/>
      <c r="F117" s="158"/>
      <c r="G117" s="32">
        <f>G100+G102+G104+G106+G108+G110+G112+G114</f>
        <v>10000</v>
      </c>
      <c r="H117" s="33" t="s">
        <v>30</v>
      </c>
      <c r="I117" s="34">
        <v>0</v>
      </c>
      <c r="J117" s="35"/>
      <c r="K117" s="36"/>
      <c r="L117" s="26">
        <f>SUM(L100:L116)</f>
        <v>11263.699999999999</v>
      </c>
      <c r="M117" s="26">
        <f>SUM(M100:M116)</f>
        <v>11218.699999999999</v>
      </c>
      <c r="N117" s="26"/>
      <c r="O117" s="37">
        <f>SUM(O100:O115)</f>
        <v>236.3</v>
      </c>
      <c r="P117" s="184"/>
    </row>
    <row r="118" spans="1:16" ht="36.75" customHeight="1" thickTop="1" thickBot="1" x14ac:dyDescent="0.35">
      <c r="A118" s="4" t="s">
        <v>48</v>
      </c>
      <c r="B118" s="4" t="s">
        <v>0</v>
      </c>
      <c r="C118" s="4" t="s">
        <v>1</v>
      </c>
      <c r="D118" s="5" t="s">
        <v>2</v>
      </c>
      <c r="E118" s="4" t="s">
        <v>3</v>
      </c>
      <c r="F118" s="4" t="s">
        <v>11</v>
      </c>
      <c r="G118" s="4" t="s">
        <v>4</v>
      </c>
      <c r="H118" s="4" t="s">
        <v>15</v>
      </c>
      <c r="I118" s="4" t="s">
        <v>16</v>
      </c>
      <c r="J118" s="21" t="s">
        <v>56</v>
      </c>
      <c r="K118" s="21" t="s">
        <v>12</v>
      </c>
      <c r="L118" s="21" t="s">
        <v>13</v>
      </c>
      <c r="M118" s="21" t="s">
        <v>101</v>
      </c>
      <c r="N118" s="21" t="s">
        <v>100</v>
      </c>
      <c r="O118" s="21" t="s">
        <v>102</v>
      </c>
      <c r="P118" s="4" t="s">
        <v>5</v>
      </c>
    </row>
    <row r="119" spans="1:16" ht="36.75" customHeight="1" thickTop="1" thickBot="1" x14ac:dyDescent="0.35">
      <c r="A119" s="40" t="s">
        <v>48</v>
      </c>
      <c r="B119" s="170">
        <v>45936</v>
      </c>
      <c r="C119" s="171" t="s">
        <v>76</v>
      </c>
      <c r="D119" s="172" t="s">
        <v>47</v>
      </c>
      <c r="E119" s="40" t="s">
        <v>51</v>
      </c>
      <c r="F119" s="41" t="s">
        <v>69</v>
      </c>
      <c r="G119" s="40">
        <v>500</v>
      </c>
      <c r="H119" s="41" t="s">
        <v>18</v>
      </c>
      <c r="I119" s="41" t="s">
        <v>75</v>
      </c>
      <c r="J119" s="155">
        <f>(K119-(K119*I134))-L134</f>
        <v>815.19999999999982</v>
      </c>
      <c r="K119" s="157">
        <f>I133</f>
        <v>4500</v>
      </c>
      <c r="L119" s="28">
        <f>433.4</f>
        <v>433.4</v>
      </c>
      <c r="M119" s="28">
        <f>433.4</f>
        <v>433.4</v>
      </c>
      <c r="N119" s="28">
        <f t="shared" ref="N119:N134" si="7">L119-M119</f>
        <v>0</v>
      </c>
      <c r="O119" s="47">
        <f>(G119-(G119*I134))-L119</f>
        <v>66.600000000000023</v>
      </c>
      <c r="P119" s="193" t="s">
        <v>57</v>
      </c>
    </row>
    <row r="120" spans="1:16" ht="36.75" customHeight="1" thickTop="1" thickBot="1" x14ac:dyDescent="0.35">
      <c r="A120" s="17" t="str">
        <f t="shared" ref="A120:A134" si="8">A119</f>
        <v>تسليم</v>
      </c>
      <c r="B120" s="164"/>
      <c r="C120" s="166"/>
      <c r="D120" s="168"/>
      <c r="E120" s="17" t="s">
        <v>95</v>
      </c>
      <c r="F120" s="32" t="s">
        <v>69</v>
      </c>
      <c r="G120" s="17">
        <f>G119*F133</f>
        <v>100</v>
      </c>
      <c r="H120" s="32"/>
      <c r="I120" s="32"/>
      <c r="J120" s="155"/>
      <c r="K120" s="157"/>
      <c r="L120" s="26">
        <f>82.2</f>
        <v>82.2</v>
      </c>
      <c r="M120" s="26">
        <f>82.2</f>
        <v>82.2</v>
      </c>
      <c r="N120" s="26">
        <f t="shared" si="7"/>
        <v>0</v>
      </c>
      <c r="O120" s="37">
        <f>(G120-(G120*I134))-L120</f>
        <v>17.799999999999997</v>
      </c>
      <c r="P120" s="184"/>
    </row>
    <row r="121" spans="1:16" ht="36.75" customHeight="1" thickTop="1" thickBot="1" x14ac:dyDescent="0.35">
      <c r="A121" s="113" t="str">
        <f t="shared" si="8"/>
        <v>تسليم</v>
      </c>
      <c r="B121" s="180"/>
      <c r="C121" s="194"/>
      <c r="D121" s="182"/>
      <c r="E121" s="7" t="s">
        <v>51</v>
      </c>
      <c r="F121" s="6" t="s">
        <v>70</v>
      </c>
      <c r="G121" s="7">
        <v>500</v>
      </c>
      <c r="H121" s="6" t="s">
        <v>18</v>
      </c>
      <c r="I121" s="6" t="s">
        <v>75</v>
      </c>
      <c r="J121" s="198"/>
      <c r="K121" s="183"/>
      <c r="L121" s="21">
        <f>253.8</f>
        <v>253.8</v>
      </c>
      <c r="M121" s="21">
        <f>253.8</f>
        <v>253.8</v>
      </c>
      <c r="N121" s="21">
        <f t="shared" si="7"/>
        <v>0</v>
      </c>
      <c r="O121" s="23">
        <f>(G121-(G121*I134))-L121</f>
        <v>246.2</v>
      </c>
      <c r="P121" s="175"/>
    </row>
    <row r="122" spans="1:16" ht="36.75" customHeight="1" thickTop="1" thickBot="1" x14ac:dyDescent="0.35">
      <c r="A122" s="113" t="str">
        <f t="shared" si="8"/>
        <v>تسليم</v>
      </c>
      <c r="B122" s="180"/>
      <c r="C122" s="194"/>
      <c r="D122" s="182"/>
      <c r="E122" s="7" t="s">
        <v>95</v>
      </c>
      <c r="F122" s="6" t="s">
        <v>70</v>
      </c>
      <c r="G122" s="7">
        <f>G121*F133</f>
        <v>100</v>
      </c>
      <c r="H122" s="6"/>
      <c r="I122" s="6"/>
      <c r="J122" s="198"/>
      <c r="K122" s="183"/>
      <c r="L122" s="21">
        <f>15.8</f>
        <v>15.8</v>
      </c>
      <c r="M122" s="21">
        <f>15.8</f>
        <v>15.8</v>
      </c>
      <c r="N122" s="21">
        <f t="shared" si="7"/>
        <v>0</v>
      </c>
      <c r="O122" s="23">
        <f>(G122-(G122*I134))-L122</f>
        <v>84.2</v>
      </c>
      <c r="P122" s="175"/>
    </row>
    <row r="123" spans="1:16" ht="36.75" customHeight="1" thickTop="1" thickBot="1" x14ac:dyDescent="0.35">
      <c r="A123" s="113" t="str">
        <f t="shared" si="8"/>
        <v>تسليم</v>
      </c>
      <c r="B123" s="170"/>
      <c r="C123" s="171"/>
      <c r="D123" s="172"/>
      <c r="E123" s="40" t="s">
        <v>51</v>
      </c>
      <c r="F123" s="41" t="s">
        <v>20</v>
      </c>
      <c r="G123" s="40">
        <v>500</v>
      </c>
      <c r="H123" s="41" t="s">
        <v>18</v>
      </c>
      <c r="I123" s="41" t="s">
        <v>75</v>
      </c>
      <c r="J123" s="155"/>
      <c r="K123" s="157"/>
      <c r="L123" s="28">
        <f>438.2</f>
        <v>438.2</v>
      </c>
      <c r="M123" s="28">
        <f>438.2</f>
        <v>438.2</v>
      </c>
      <c r="N123" s="28">
        <f t="shared" si="7"/>
        <v>0</v>
      </c>
      <c r="O123" s="47">
        <f>(G123-(G123*I134))-L123</f>
        <v>61.800000000000011</v>
      </c>
      <c r="P123" s="193"/>
    </row>
    <row r="124" spans="1:16" ht="36.75" customHeight="1" thickTop="1" thickBot="1" x14ac:dyDescent="0.35">
      <c r="A124" s="113" t="str">
        <f t="shared" si="8"/>
        <v>تسليم</v>
      </c>
      <c r="B124" s="180"/>
      <c r="C124" s="194"/>
      <c r="D124" s="182"/>
      <c r="E124" s="7" t="s">
        <v>95</v>
      </c>
      <c r="F124" s="6" t="s">
        <v>20</v>
      </c>
      <c r="G124" s="7">
        <f>G123*F133</f>
        <v>100</v>
      </c>
      <c r="H124" s="6"/>
      <c r="I124" s="6"/>
      <c r="J124" s="155"/>
      <c r="K124" s="157"/>
      <c r="L124" s="21">
        <f>82.2</f>
        <v>82.2</v>
      </c>
      <c r="M124" s="21">
        <f>82.2</f>
        <v>82.2</v>
      </c>
      <c r="N124" s="21">
        <f t="shared" si="7"/>
        <v>0</v>
      </c>
      <c r="O124" s="23">
        <f>(G124-(G124*I134))-L124</f>
        <v>17.799999999999997</v>
      </c>
      <c r="P124" s="175"/>
    </row>
    <row r="125" spans="1:16" ht="36.75" customHeight="1" thickTop="1" thickBot="1" x14ac:dyDescent="0.35">
      <c r="A125" s="113" t="str">
        <f t="shared" si="8"/>
        <v>تسليم</v>
      </c>
      <c r="B125" s="180"/>
      <c r="C125" s="194"/>
      <c r="D125" s="182"/>
      <c r="E125" s="7" t="s">
        <v>51</v>
      </c>
      <c r="F125" s="6" t="s">
        <v>72</v>
      </c>
      <c r="G125" s="7">
        <v>500</v>
      </c>
      <c r="H125" s="6" t="s">
        <v>18</v>
      </c>
      <c r="I125" s="6" t="s">
        <v>75</v>
      </c>
      <c r="J125" s="155"/>
      <c r="K125" s="157"/>
      <c r="L125" s="21">
        <v>535</v>
      </c>
      <c r="M125" s="21">
        <f>535</f>
        <v>535</v>
      </c>
      <c r="N125" s="21">
        <f t="shared" si="7"/>
        <v>0</v>
      </c>
      <c r="O125" s="23">
        <f>(G125-(G125*I134))-L125</f>
        <v>-35</v>
      </c>
      <c r="P125" s="175"/>
    </row>
    <row r="126" spans="1:16" ht="36.75" customHeight="1" thickTop="1" thickBot="1" x14ac:dyDescent="0.35">
      <c r="A126" s="113" t="str">
        <f t="shared" si="8"/>
        <v>تسليم</v>
      </c>
      <c r="B126" s="180"/>
      <c r="C126" s="194"/>
      <c r="D126" s="182"/>
      <c r="E126" s="7" t="s">
        <v>95</v>
      </c>
      <c r="F126" s="6" t="s">
        <v>72</v>
      </c>
      <c r="G126" s="7">
        <f>G125*F133</f>
        <v>100</v>
      </c>
      <c r="H126" s="6"/>
      <c r="I126" s="6"/>
      <c r="J126" s="155"/>
      <c r="K126" s="157"/>
      <c r="L126" s="21">
        <v>109</v>
      </c>
      <c r="M126" s="21">
        <f>109</f>
        <v>109</v>
      </c>
      <c r="N126" s="21">
        <f t="shared" si="7"/>
        <v>0</v>
      </c>
      <c r="O126" s="23">
        <f>(G126-(G126*I134))-L126</f>
        <v>-9</v>
      </c>
      <c r="P126" s="175"/>
    </row>
    <row r="127" spans="1:16" ht="36.75" customHeight="1" thickTop="1" thickBot="1" x14ac:dyDescent="0.35">
      <c r="A127" s="113" t="str">
        <f t="shared" si="8"/>
        <v>تسليم</v>
      </c>
      <c r="B127" s="180"/>
      <c r="C127" s="194"/>
      <c r="D127" s="182"/>
      <c r="E127" s="7" t="s">
        <v>51</v>
      </c>
      <c r="F127" s="6" t="s">
        <v>73</v>
      </c>
      <c r="G127" s="7">
        <v>500</v>
      </c>
      <c r="H127" s="6" t="s">
        <v>18</v>
      </c>
      <c r="I127" s="6" t="s">
        <v>75</v>
      </c>
      <c r="J127" s="155"/>
      <c r="K127" s="157"/>
      <c r="L127" s="21">
        <f>565.3</f>
        <v>565.29999999999995</v>
      </c>
      <c r="M127" s="21">
        <f>565.3</f>
        <v>565.29999999999995</v>
      </c>
      <c r="N127" s="21">
        <f t="shared" si="7"/>
        <v>0</v>
      </c>
      <c r="O127" s="23">
        <f>(G127-(G127*I134))-L127</f>
        <v>-65.299999999999955</v>
      </c>
      <c r="P127" s="175"/>
    </row>
    <row r="128" spans="1:16" ht="36.75" customHeight="1" thickTop="1" thickBot="1" x14ac:dyDescent="0.35">
      <c r="A128" s="113" t="str">
        <f t="shared" si="8"/>
        <v>تسليم</v>
      </c>
      <c r="B128" s="180"/>
      <c r="C128" s="194"/>
      <c r="D128" s="182"/>
      <c r="E128" s="7" t="s">
        <v>95</v>
      </c>
      <c r="F128" s="6" t="s">
        <v>73</v>
      </c>
      <c r="G128" s="7">
        <f>G127*F133</f>
        <v>100</v>
      </c>
      <c r="H128" s="6"/>
      <c r="I128" s="6"/>
      <c r="J128" s="155"/>
      <c r="K128" s="157"/>
      <c r="L128" s="21">
        <f>114.4</f>
        <v>114.4</v>
      </c>
      <c r="M128" s="21">
        <f>114.4</f>
        <v>114.4</v>
      </c>
      <c r="N128" s="21">
        <f t="shared" si="7"/>
        <v>0</v>
      </c>
      <c r="O128" s="23">
        <f>(G128-(G128*I134))-L128</f>
        <v>-14.400000000000006</v>
      </c>
      <c r="P128" s="175"/>
    </row>
    <row r="129" spans="1:16" ht="36.75" customHeight="1" thickTop="1" thickBot="1" x14ac:dyDescent="0.35">
      <c r="A129" s="113" t="str">
        <f t="shared" si="8"/>
        <v>تسليم</v>
      </c>
      <c r="B129" s="180"/>
      <c r="C129" s="194"/>
      <c r="D129" s="182"/>
      <c r="E129" s="7" t="s">
        <v>51</v>
      </c>
      <c r="F129" s="6" t="s">
        <v>74</v>
      </c>
      <c r="G129" s="7">
        <v>500</v>
      </c>
      <c r="H129" s="6" t="s">
        <v>18</v>
      </c>
      <c r="I129" s="6" t="s">
        <v>75</v>
      </c>
      <c r="J129" s="155"/>
      <c r="K129" s="157"/>
      <c r="L129" s="21">
        <f>468</f>
        <v>468</v>
      </c>
      <c r="M129" s="21">
        <f>468</f>
        <v>468</v>
      </c>
      <c r="N129" s="21">
        <f t="shared" si="7"/>
        <v>0</v>
      </c>
      <c r="O129" s="23">
        <f>(G129-(G129*I134))-L129</f>
        <v>32</v>
      </c>
      <c r="P129" s="175"/>
    </row>
    <row r="130" spans="1:16" ht="36.75" customHeight="1" thickTop="1" thickBot="1" x14ac:dyDescent="0.35">
      <c r="A130" s="113" t="str">
        <f t="shared" si="8"/>
        <v>تسليم</v>
      </c>
      <c r="B130" s="164"/>
      <c r="C130" s="166"/>
      <c r="D130" s="168"/>
      <c r="E130" s="17" t="s">
        <v>95</v>
      </c>
      <c r="F130" s="32" t="s">
        <v>74</v>
      </c>
      <c r="G130" s="17">
        <f>G129*F133</f>
        <v>100</v>
      </c>
      <c r="H130" s="32"/>
      <c r="I130" s="32"/>
      <c r="J130" s="155"/>
      <c r="K130" s="157"/>
      <c r="L130" s="26">
        <f>91.5</f>
        <v>91.5</v>
      </c>
      <c r="M130" s="26">
        <f>91.5</f>
        <v>91.5</v>
      </c>
      <c r="N130" s="26">
        <f t="shared" si="7"/>
        <v>0</v>
      </c>
      <c r="O130" s="37">
        <f>(G130-(G130*I134))-L130</f>
        <v>8.5</v>
      </c>
      <c r="P130" s="184"/>
    </row>
    <row r="131" spans="1:16" ht="36.75" customHeight="1" thickTop="1" thickBot="1" x14ac:dyDescent="0.35">
      <c r="A131" s="113" t="str">
        <f t="shared" si="8"/>
        <v>تسليم</v>
      </c>
      <c r="B131" s="180"/>
      <c r="C131" s="194"/>
      <c r="D131" s="182"/>
      <c r="E131" s="7" t="s">
        <v>51</v>
      </c>
      <c r="F131" s="6" t="s">
        <v>17</v>
      </c>
      <c r="G131" s="7">
        <v>1500</v>
      </c>
      <c r="H131" s="6" t="s">
        <v>18</v>
      </c>
      <c r="I131" s="6" t="s">
        <v>75</v>
      </c>
      <c r="J131" s="198"/>
      <c r="K131" s="183"/>
      <c r="L131" s="21">
        <f>496</f>
        <v>496</v>
      </c>
      <c r="M131" s="21">
        <f>496</f>
        <v>496</v>
      </c>
      <c r="N131" s="21">
        <f t="shared" si="7"/>
        <v>0</v>
      </c>
      <c r="O131" s="23">
        <f>(G131-(G131*I134))-L131</f>
        <v>1004</v>
      </c>
      <c r="P131" s="175"/>
    </row>
    <row r="132" spans="1:16" ht="36.75" customHeight="1" thickTop="1" thickBot="1" x14ac:dyDescent="0.35">
      <c r="A132" s="113" t="str">
        <f t="shared" si="8"/>
        <v>تسليم</v>
      </c>
      <c r="B132" s="180"/>
      <c r="C132" s="194"/>
      <c r="D132" s="182"/>
      <c r="E132" s="7" t="s">
        <v>95</v>
      </c>
      <c r="F132" s="6" t="s">
        <v>17</v>
      </c>
      <c r="G132" s="7">
        <f>G131*F133</f>
        <v>300</v>
      </c>
      <c r="H132" s="6"/>
      <c r="I132" s="6"/>
      <c r="J132" s="198"/>
      <c r="K132" s="183"/>
      <c r="L132" s="21">
        <f>55</f>
        <v>55</v>
      </c>
      <c r="M132" s="21">
        <f>55</f>
        <v>55</v>
      </c>
      <c r="N132" s="21">
        <f t="shared" si="7"/>
        <v>0</v>
      </c>
      <c r="O132" s="23">
        <f>(G132-(G132*I134))-L132</f>
        <v>245</v>
      </c>
      <c r="P132" s="175"/>
    </row>
    <row r="133" spans="1:16" ht="36.75" customHeight="1" thickTop="1" thickBot="1" x14ac:dyDescent="0.35">
      <c r="A133" s="113" t="str">
        <f t="shared" si="8"/>
        <v>تسليم</v>
      </c>
      <c r="B133" s="180"/>
      <c r="C133" s="194"/>
      <c r="D133" s="182"/>
      <c r="E133" s="11" t="s">
        <v>95</v>
      </c>
      <c r="F133" s="15">
        <v>0.2</v>
      </c>
      <c r="G133" s="11">
        <f>G120+G122+G124+G128+G130+G132</f>
        <v>800</v>
      </c>
      <c r="H133" s="12" t="s">
        <v>103</v>
      </c>
      <c r="I133" s="12">
        <f>G134</f>
        <v>4500</v>
      </c>
      <c r="J133" s="22">
        <f>(K133-(K133*I134))-L133</f>
        <v>800</v>
      </c>
      <c r="K133" s="21">
        <f>G133</f>
        <v>800</v>
      </c>
      <c r="L133" s="21"/>
      <c r="M133" s="21"/>
      <c r="N133" s="21">
        <f t="shared" si="7"/>
        <v>0</v>
      </c>
      <c r="O133" s="23">
        <f>(G133-(G133*I134))-L133</f>
        <v>800</v>
      </c>
      <c r="P133" s="175"/>
    </row>
    <row r="134" spans="1:16" ht="36.75" customHeight="1" thickTop="1" thickBot="1" x14ac:dyDescent="0.35">
      <c r="A134" s="113" t="str">
        <f t="shared" si="8"/>
        <v>تسليم</v>
      </c>
      <c r="B134" s="179" t="s">
        <v>29</v>
      </c>
      <c r="C134" s="179"/>
      <c r="D134" s="179"/>
      <c r="E134" s="179"/>
      <c r="F134" s="179"/>
      <c r="G134" s="6">
        <f>G119+G121+G123+G125+G127+G129+G131</f>
        <v>4500</v>
      </c>
      <c r="H134" s="2" t="s">
        <v>30</v>
      </c>
      <c r="I134" s="3">
        <v>0</v>
      </c>
      <c r="J134" s="22"/>
      <c r="K134" s="21"/>
      <c r="L134" s="21">
        <f>SUM(L119:L131)</f>
        <v>3684.8</v>
      </c>
      <c r="M134" s="21"/>
      <c r="N134" s="21">
        <f t="shared" si="7"/>
        <v>3684.8</v>
      </c>
      <c r="O134" s="23">
        <f>SUM(O119:O132)</f>
        <v>1660.2</v>
      </c>
      <c r="P134" s="175"/>
    </row>
    <row r="135" spans="1:16" ht="36.75" customHeight="1" thickTop="1" thickBot="1" x14ac:dyDescent="0.35">
      <c r="A135" s="45" t="s">
        <v>48</v>
      </c>
      <c r="B135" s="45" t="s">
        <v>0</v>
      </c>
      <c r="C135" s="45" t="s">
        <v>1</v>
      </c>
      <c r="D135" s="46" t="s">
        <v>2</v>
      </c>
      <c r="E135" s="45" t="s">
        <v>3</v>
      </c>
      <c r="F135" s="45" t="s">
        <v>11</v>
      </c>
      <c r="G135" s="45" t="s">
        <v>4</v>
      </c>
      <c r="H135" s="45" t="s">
        <v>15</v>
      </c>
      <c r="I135" s="45" t="s">
        <v>16</v>
      </c>
      <c r="J135" s="28" t="s">
        <v>5</v>
      </c>
      <c r="K135" s="28" t="s">
        <v>12</v>
      </c>
      <c r="L135" s="28" t="s">
        <v>13</v>
      </c>
      <c r="M135" s="28" t="s">
        <v>101</v>
      </c>
      <c r="N135" s="28" t="s">
        <v>100</v>
      </c>
      <c r="O135" s="28" t="s">
        <v>102</v>
      </c>
      <c r="P135" s="45" t="s">
        <v>5</v>
      </c>
    </row>
    <row r="136" spans="1:16" ht="36.75" customHeight="1" thickTop="1" thickBot="1" x14ac:dyDescent="0.35">
      <c r="A136" s="7" t="s">
        <v>48</v>
      </c>
      <c r="B136" s="9">
        <v>45932</v>
      </c>
      <c r="C136" s="166" t="s">
        <v>79</v>
      </c>
      <c r="D136" s="10" t="s">
        <v>86</v>
      </c>
      <c r="E136" s="7" t="s">
        <v>84</v>
      </c>
      <c r="F136" s="6" t="s">
        <v>17</v>
      </c>
      <c r="G136" s="7">
        <f>3395</f>
        <v>3395</v>
      </c>
      <c r="H136" s="6" t="s">
        <v>80</v>
      </c>
      <c r="I136" s="6" t="s">
        <v>90</v>
      </c>
      <c r="J136" s="24">
        <f>(K136-(K136*I141))-L136</f>
        <v>901.89999999999964</v>
      </c>
      <c r="K136" s="21">
        <f>725+833.6+530.1+562.2+470+552.8</f>
        <v>3673.7</v>
      </c>
      <c r="L136" s="21">
        <f>55+933+535.8+1248</f>
        <v>2771.8</v>
      </c>
      <c r="M136" s="21">
        <f>55+1468.8+1248</f>
        <v>2771.8</v>
      </c>
      <c r="N136" s="21">
        <f t="shared" ref="N136:N141" si="9">L136-M136</f>
        <v>0</v>
      </c>
      <c r="O136" s="23">
        <f>(G136-(G136*I141))-L136</f>
        <v>623.19999999999982</v>
      </c>
      <c r="P136" s="175" t="s">
        <v>10</v>
      </c>
    </row>
    <row r="137" spans="1:16" ht="36.75" customHeight="1" thickTop="1" thickBot="1" x14ac:dyDescent="0.35">
      <c r="A137" s="7" t="str">
        <f>A136</f>
        <v>تسليم</v>
      </c>
      <c r="B137" s="9">
        <v>45932</v>
      </c>
      <c r="C137" s="167"/>
      <c r="D137" s="10" t="s">
        <v>87</v>
      </c>
      <c r="E137" s="7" t="s">
        <v>84</v>
      </c>
      <c r="F137" s="6" t="s">
        <v>17</v>
      </c>
      <c r="G137" s="7">
        <f>3395</f>
        <v>3395</v>
      </c>
      <c r="H137" s="6" t="s">
        <v>81</v>
      </c>
      <c r="I137" s="6" t="s">
        <v>90</v>
      </c>
      <c r="J137" s="24">
        <f>(K137-(K137*I141))-L137</f>
        <v>-166.90000000000055</v>
      </c>
      <c r="K137" s="21">
        <f>679+139.5+560.8+408.5+662.1+521.1+490.2+379.5</f>
        <v>3840.7</v>
      </c>
      <c r="L137" s="21">
        <f>1407.2+1175.4+1425</f>
        <v>4007.6000000000004</v>
      </c>
      <c r="M137" s="21">
        <f>1407+1175.4+1425</f>
        <v>4007.4</v>
      </c>
      <c r="N137" s="21">
        <f t="shared" si="9"/>
        <v>0.20000000000027285</v>
      </c>
      <c r="O137" s="23">
        <f>(G137-(G137*I141))-L137</f>
        <v>-612.60000000000036</v>
      </c>
      <c r="P137" s="175"/>
    </row>
    <row r="138" spans="1:16" ht="36.75" customHeight="1" thickTop="1" thickBot="1" x14ac:dyDescent="0.35">
      <c r="A138" s="7" t="str">
        <f>A137</f>
        <v>تسليم</v>
      </c>
      <c r="B138" s="9">
        <v>45932</v>
      </c>
      <c r="C138" s="167"/>
      <c r="D138" s="10" t="s">
        <v>88</v>
      </c>
      <c r="E138" s="7" t="s">
        <v>84</v>
      </c>
      <c r="F138" s="6" t="s">
        <v>17</v>
      </c>
      <c r="G138" s="7">
        <f>3880</f>
        <v>3880</v>
      </c>
      <c r="H138" s="6" t="s">
        <v>82</v>
      </c>
      <c r="I138" s="6" t="s">
        <v>90</v>
      </c>
      <c r="J138" s="24">
        <f>(K138-(K138*I141))-L138</f>
        <v>1410.4999999999995</v>
      </c>
      <c r="K138" s="21">
        <f>598+690+528.1+664.4+529.3+517.6+706</f>
        <v>4233.3999999999996</v>
      </c>
      <c r="L138" s="21">
        <f>753+382.9+1687</f>
        <v>2822.9</v>
      </c>
      <c r="M138" s="21">
        <f>753+382.9+1687</f>
        <v>2822.9</v>
      </c>
      <c r="N138" s="21">
        <f t="shared" si="9"/>
        <v>0</v>
      </c>
      <c r="O138" s="23">
        <f>(G138-(G138*I141))-L138</f>
        <v>1057.0999999999999</v>
      </c>
      <c r="P138" s="175"/>
    </row>
    <row r="139" spans="1:16" ht="36.75" customHeight="1" thickTop="1" thickBot="1" x14ac:dyDescent="0.35">
      <c r="A139" s="7" t="str">
        <f>A138</f>
        <v>تسليم</v>
      </c>
      <c r="B139" s="9">
        <v>45932</v>
      </c>
      <c r="C139" s="167"/>
      <c r="D139" s="10" t="s">
        <v>89</v>
      </c>
      <c r="E139" s="7" t="s">
        <v>84</v>
      </c>
      <c r="F139" s="6" t="s">
        <v>17</v>
      </c>
      <c r="G139" s="7">
        <f>970</f>
        <v>970</v>
      </c>
      <c r="H139" s="6" t="s">
        <v>83</v>
      </c>
      <c r="I139" s="6" t="s">
        <v>90</v>
      </c>
      <c r="J139" s="24">
        <f>(K139-(K139*I141))-L139</f>
        <v>-1488.6999999999998</v>
      </c>
      <c r="K139" s="21">
        <f>582.8+391+616.2</f>
        <v>1590</v>
      </c>
      <c r="L139" s="21">
        <f>886.7+393+596+1203</f>
        <v>3078.7</v>
      </c>
      <c r="M139" s="21">
        <f>886.7+989+1203</f>
        <v>3078.7</v>
      </c>
      <c r="N139" s="21">
        <f t="shared" si="9"/>
        <v>0</v>
      </c>
      <c r="O139" s="23">
        <f>(G139-(G139*I141))-L139</f>
        <v>-2108.6999999999998</v>
      </c>
      <c r="P139" s="175"/>
    </row>
    <row r="140" spans="1:16" ht="36.75" customHeight="1" thickTop="1" thickBot="1" x14ac:dyDescent="0.35">
      <c r="A140" s="7" t="str">
        <f>A139</f>
        <v>تسليم</v>
      </c>
      <c r="B140" s="9">
        <v>45932</v>
      </c>
      <c r="C140" s="171"/>
      <c r="D140" s="191" t="s">
        <v>85</v>
      </c>
      <c r="E140" s="192"/>
      <c r="F140" s="6" t="s">
        <v>17</v>
      </c>
      <c r="G140" s="16">
        <f>G141*2.5%</f>
        <v>291</v>
      </c>
      <c r="H140" s="6" t="s">
        <v>91</v>
      </c>
      <c r="I140" s="6"/>
      <c r="J140" s="22">
        <f>(K140-(K140*I141))-L140</f>
        <v>11.200000000000045</v>
      </c>
      <c r="K140" s="21">
        <f>18.1+25.7+51.8+32.1+28+27.6+24.8+28.4+27.6+28.1</f>
        <v>292.20000000000005</v>
      </c>
      <c r="L140" s="21">
        <f>74.6+28+57+121.4</f>
        <v>281</v>
      </c>
      <c r="M140" s="21">
        <f>74.6+85+121.4</f>
        <v>281</v>
      </c>
      <c r="N140" s="21">
        <f t="shared" si="9"/>
        <v>0</v>
      </c>
      <c r="O140" s="23">
        <f>(G140-(G140*I141))-L140</f>
        <v>10</v>
      </c>
      <c r="P140" s="175"/>
    </row>
    <row r="141" spans="1:16" ht="36.75" customHeight="1" thickTop="1" thickBot="1" x14ac:dyDescent="0.35">
      <c r="A141" s="12" t="str">
        <f>A139</f>
        <v>تسليم</v>
      </c>
      <c r="B141" s="188" t="s">
        <v>29</v>
      </c>
      <c r="C141" s="189"/>
      <c r="D141" s="189"/>
      <c r="E141" s="189"/>
      <c r="F141" s="190"/>
      <c r="G141" s="12">
        <f>G136+G137+G138+G139</f>
        <v>11640</v>
      </c>
      <c r="H141" s="18" t="s">
        <v>30</v>
      </c>
      <c r="I141" s="19">
        <v>0</v>
      </c>
      <c r="J141" s="21">
        <f>J140+J136+J137+J138+J139</f>
        <v>667.99999999999909</v>
      </c>
      <c r="K141" s="21">
        <f>K140+K136+K137+K138+K139</f>
        <v>13630</v>
      </c>
      <c r="L141" s="21">
        <f>SUM(L136:L140)</f>
        <v>12962</v>
      </c>
      <c r="M141" s="21">
        <f>SUBTOTAL(9,M136:M140)</f>
        <v>12961.8</v>
      </c>
      <c r="N141" s="21">
        <f t="shared" si="9"/>
        <v>0.2000000000007276</v>
      </c>
      <c r="O141" s="23">
        <f>SUM(O136:O139)</f>
        <v>-1041.0000000000005</v>
      </c>
      <c r="P141" s="175"/>
    </row>
    <row r="142" spans="1:16" ht="36.75" customHeight="1" thickTop="1" thickBot="1" x14ac:dyDescent="0.35">
      <c r="A142" s="111" t="s">
        <v>48</v>
      </c>
      <c r="B142" s="111" t="s">
        <v>0</v>
      </c>
      <c r="C142" s="111" t="s">
        <v>1</v>
      </c>
      <c r="D142" s="112" t="s">
        <v>2</v>
      </c>
      <c r="E142" s="111" t="s">
        <v>3</v>
      </c>
      <c r="F142" s="111" t="s">
        <v>11</v>
      </c>
      <c r="G142" s="111" t="s">
        <v>4</v>
      </c>
      <c r="H142" s="111" t="s">
        <v>15</v>
      </c>
      <c r="I142" s="111" t="s">
        <v>16</v>
      </c>
      <c r="J142" s="111" t="s">
        <v>5</v>
      </c>
      <c r="K142" s="111" t="s">
        <v>12</v>
      </c>
      <c r="L142" s="111" t="s">
        <v>13</v>
      </c>
      <c r="M142" s="111" t="s">
        <v>101</v>
      </c>
      <c r="N142" s="111" t="s">
        <v>100</v>
      </c>
      <c r="O142" s="111" t="s">
        <v>102</v>
      </c>
      <c r="P142" s="111" t="s">
        <v>5</v>
      </c>
    </row>
    <row r="143" spans="1:16" ht="36.75" customHeight="1" thickTop="1" thickBot="1" x14ac:dyDescent="0.35">
      <c r="A143" s="66" t="str">
        <f>A142</f>
        <v>تسليم</v>
      </c>
      <c r="B143" s="67">
        <v>45942</v>
      </c>
      <c r="C143" s="105" t="s">
        <v>79</v>
      </c>
      <c r="D143" s="68" t="s">
        <v>7</v>
      </c>
      <c r="E143" s="66" t="s">
        <v>93</v>
      </c>
      <c r="F143" s="98" t="s">
        <v>17</v>
      </c>
      <c r="G143" s="66">
        <v>25</v>
      </c>
      <c r="H143" s="98" t="s">
        <v>94</v>
      </c>
      <c r="I143" s="98" t="s">
        <v>19</v>
      </c>
      <c r="J143" s="106">
        <f>(K143-(K143*I144))-L143</f>
        <v>4.6000000000000014</v>
      </c>
      <c r="K143" s="98">
        <f>21.6</f>
        <v>21.6</v>
      </c>
      <c r="L143" s="98">
        <v>17</v>
      </c>
      <c r="M143" s="98">
        <v>17</v>
      </c>
      <c r="N143" s="98">
        <f>L143-M143</f>
        <v>0</v>
      </c>
      <c r="O143" s="69">
        <f>(G143-(G143*I144))-L143</f>
        <v>8</v>
      </c>
      <c r="P143" s="195" t="s">
        <v>10</v>
      </c>
    </row>
    <row r="144" spans="1:16" ht="36.75" customHeight="1" thickTop="1" thickBot="1" x14ac:dyDescent="0.35">
      <c r="A144" s="109" t="str">
        <f>A143</f>
        <v>تسليم</v>
      </c>
      <c r="B144" s="197"/>
      <c r="C144" s="197"/>
      <c r="D144" s="197"/>
      <c r="E144" s="197"/>
      <c r="F144" s="197"/>
      <c r="G144" s="109">
        <f>SUM(G143:G143)</f>
        <v>25</v>
      </c>
      <c r="H144" s="109" t="s">
        <v>30</v>
      </c>
      <c r="I144" s="110">
        <v>0</v>
      </c>
      <c r="J144" s="107">
        <f>J143</f>
        <v>4.6000000000000014</v>
      </c>
      <c r="K144" s="107">
        <f>K143</f>
        <v>21.6</v>
      </c>
      <c r="L144" s="107">
        <f>SUM(L143:L143)</f>
        <v>17</v>
      </c>
      <c r="M144" s="107">
        <f>SUBTOTAL(9,M143)</f>
        <v>17</v>
      </c>
      <c r="N144" s="107">
        <f>L144-M144</f>
        <v>0</v>
      </c>
      <c r="O144" s="108">
        <f>SUM(O143:O143)</f>
        <v>8</v>
      </c>
      <c r="P144" s="196"/>
    </row>
    <row r="145" spans="1:16" ht="36.75" customHeight="1" thickTop="1" thickBot="1" x14ac:dyDescent="0.35">
      <c r="A145" s="111" t="s">
        <v>48</v>
      </c>
      <c r="B145" s="111" t="s">
        <v>0</v>
      </c>
      <c r="C145" s="111" t="s">
        <v>1</v>
      </c>
      <c r="D145" s="112" t="s">
        <v>2</v>
      </c>
      <c r="E145" s="111" t="s">
        <v>3</v>
      </c>
      <c r="F145" s="111" t="s">
        <v>11</v>
      </c>
      <c r="G145" s="111" t="s">
        <v>4</v>
      </c>
      <c r="H145" s="111" t="s">
        <v>15</v>
      </c>
      <c r="I145" s="111" t="s">
        <v>16</v>
      </c>
      <c r="J145" s="111" t="s">
        <v>56</v>
      </c>
      <c r="K145" s="111" t="s">
        <v>12</v>
      </c>
      <c r="L145" s="111" t="s">
        <v>13</v>
      </c>
      <c r="M145" s="111" t="s">
        <v>101</v>
      </c>
      <c r="N145" s="111" t="s">
        <v>100</v>
      </c>
      <c r="O145" s="111" t="s">
        <v>102</v>
      </c>
      <c r="P145" s="111" t="s">
        <v>5</v>
      </c>
    </row>
    <row r="146" spans="1:16" ht="36.75" customHeight="1" thickTop="1" thickBot="1" x14ac:dyDescent="0.35">
      <c r="A146" s="7" t="str">
        <f>A145</f>
        <v>تسليم</v>
      </c>
      <c r="B146" s="180">
        <v>45946</v>
      </c>
      <c r="C146" s="194" t="s">
        <v>96</v>
      </c>
      <c r="D146" s="182" t="s">
        <v>47</v>
      </c>
      <c r="E146" s="7" t="s">
        <v>51</v>
      </c>
      <c r="F146" s="6" t="s">
        <v>17</v>
      </c>
      <c r="G146" s="7">
        <v>2500</v>
      </c>
      <c r="H146" s="6" t="s">
        <v>18</v>
      </c>
      <c r="I146" s="6" t="s">
        <v>75</v>
      </c>
      <c r="J146" s="198">
        <f>(K146-(K146*I157))-L157</f>
        <v>-5016.8999999999996</v>
      </c>
      <c r="K146" s="183"/>
      <c r="L146" s="21">
        <f>187+1300.2+450</f>
        <v>1937.2</v>
      </c>
      <c r="M146" s="21">
        <f>187+1300.2+450</f>
        <v>1937.2</v>
      </c>
      <c r="N146" s="21">
        <f t="shared" ref="N146:N157" si="10">L146-M146</f>
        <v>0</v>
      </c>
      <c r="O146" s="23">
        <f>(G146-(G146*I157))-L146</f>
        <v>562.79999999999995</v>
      </c>
      <c r="P146" s="175" t="s">
        <v>57</v>
      </c>
    </row>
    <row r="147" spans="1:16" ht="36.75" customHeight="1" thickTop="1" thickBot="1" x14ac:dyDescent="0.35">
      <c r="A147" s="7" t="str">
        <f t="shared" ref="A147:A157" si="11">A146</f>
        <v>تسليم</v>
      </c>
      <c r="B147" s="180"/>
      <c r="C147" s="194"/>
      <c r="D147" s="182"/>
      <c r="E147" s="7" t="s">
        <v>95</v>
      </c>
      <c r="F147" s="6" t="s">
        <v>17</v>
      </c>
      <c r="G147" s="7">
        <f>G146*F156</f>
        <v>375</v>
      </c>
      <c r="H147" s="6"/>
      <c r="I147" s="6"/>
      <c r="J147" s="198"/>
      <c r="K147" s="183"/>
      <c r="L147" s="21">
        <f>23+218.5+74</f>
        <v>315.5</v>
      </c>
      <c r="M147" s="21">
        <f>23+218.5+74</f>
        <v>315.5</v>
      </c>
      <c r="N147" s="21">
        <f t="shared" si="10"/>
        <v>0</v>
      </c>
      <c r="O147" s="23">
        <f>(G147-(G147*I157))-L147</f>
        <v>59.5</v>
      </c>
      <c r="P147" s="175"/>
    </row>
    <row r="148" spans="1:16" ht="36.75" customHeight="1" thickTop="1" thickBot="1" x14ac:dyDescent="0.35">
      <c r="A148" s="115" t="str">
        <f t="shared" si="11"/>
        <v>تسليم</v>
      </c>
      <c r="B148" s="165"/>
      <c r="C148" s="167"/>
      <c r="D148" s="169"/>
      <c r="E148" s="40" t="s">
        <v>51</v>
      </c>
      <c r="F148" s="41" t="s">
        <v>39</v>
      </c>
      <c r="G148" s="40">
        <v>1000</v>
      </c>
      <c r="H148" s="41" t="s">
        <v>18</v>
      </c>
      <c r="I148" s="41" t="s">
        <v>75</v>
      </c>
      <c r="J148" s="155"/>
      <c r="K148" s="157"/>
      <c r="L148" s="28">
        <f>616.2+125</f>
        <v>741.2</v>
      </c>
      <c r="M148" s="28">
        <f>616.2+125</f>
        <v>741.2</v>
      </c>
      <c r="N148" s="28">
        <f t="shared" si="10"/>
        <v>0</v>
      </c>
      <c r="O148" s="47">
        <f>(G148-(G148*I157))-L148</f>
        <v>258.79999999999995</v>
      </c>
      <c r="P148" s="193"/>
    </row>
    <row r="149" spans="1:16" ht="36.75" customHeight="1" thickTop="1" thickBot="1" x14ac:dyDescent="0.35">
      <c r="A149" s="115" t="str">
        <f t="shared" si="11"/>
        <v>تسليم</v>
      </c>
      <c r="B149" s="165"/>
      <c r="C149" s="167"/>
      <c r="D149" s="169"/>
      <c r="E149" s="7" t="s">
        <v>95</v>
      </c>
      <c r="F149" s="6" t="s">
        <v>39</v>
      </c>
      <c r="G149" s="7">
        <f>G148*F156</f>
        <v>150</v>
      </c>
      <c r="H149" s="6"/>
      <c r="I149" s="6"/>
      <c r="J149" s="155"/>
      <c r="K149" s="157"/>
      <c r="L149" s="21">
        <f>117</f>
        <v>117</v>
      </c>
      <c r="M149" s="21">
        <f>117</f>
        <v>117</v>
      </c>
      <c r="N149" s="21">
        <f t="shared" si="10"/>
        <v>0</v>
      </c>
      <c r="O149" s="23">
        <f>(G149-(G149*I157))-L149</f>
        <v>33</v>
      </c>
      <c r="P149" s="175"/>
    </row>
    <row r="150" spans="1:16" ht="36.75" customHeight="1" thickTop="1" thickBot="1" x14ac:dyDescent="0.35">
      <c r="A150" s="115" t="str">
        <f t="shared" si="11"/>
        <v>تسليم</v>
      </c>
      <c r="B150" s="165"/>
      <c r="C150" s="167"/>
      <c r="D150" s="169"/>
      <c r="E150" s="7" t="s">
        <v>51</v>
      </c>
      <c r="F150" s="6" t="s">
        <v>73</v>
      </c>
      <c r="G150" s="7">
        <v>600</v>
      </c>
      <c r="H150" s="6" t="s">
        <v>18</v>
      </c>
      <c r="I150" s="6" t="s">
        <v>75</v>
      </c>
      <c r="J150" s="155"/>
      <c r="K150" s="157"/>
      <c r="L150" s="21">
        <v>578.1</v>
      </c>
      <c r="M150" s="21">
        <f>578.1</f>
        <v>578.1</v>
      </c>
      <c r="N150" s="21">
        <f t="shared" si="10"/>
        <v>0</v>
      </c>
      <c r="O150" s="23">
        <f>(G150-(G150*I157))-L150</f>
        <v>21.899999999999977</v>
      </c>
      <c r="P150" s="175"/>
    </row>
    <row r="151" spans="1:16" ht="36.75" customHeight="1" thickTop="1" thickBot="1" x14ac:dyDescent="0.35">
      <c r="A151" s="115" t="str">
        <f t="shared" si="11"/>
        <v>تسليم</v>
      </c>
      <c r="B151" s="165"/>
      <c r="C151" s="167"/>
      <c r="D151" s="169"/>
      <c r="E151" s="17" t="s">
        <v>95</v>
      </c>
      <c r="F151" s="32" t="s">
        <v>73</v>
      </c>
      <c r="G151" s="17">
        <f>G150*F156</f>
        <v>90</v>
      </c>
      <c r="H151" s="32"/>
      <c r="I151" s="32"/>
      <c r="J151" s="155"/>
      <c r="K151" s="157"/>
      <c r="L151" s="26">
        <f>109.1</f>
        <v>109.1</v>
      </c>
      <c r="M151" s="26">
        <f>109.1</f>
        <v>109.1</v>
      </c>
      <c r="N151" s="26">
        <f t="shared" si="10"/>
        <v>0</v>
      </c>
      <c r="O151" s="37">
        <f>(G151-(G151*I157))-L151</f>
        <v>-19.099999999999994</v>
      </c>
      <c r="P151" s="184"/>
    </row>
    <row r="152" spans="1:16" ht="36.75" customHeight="1" thickTop="1" thickBot="1" x14ac:dyDescent="0.35">
      <c r="A152" s="115" t="str">
        <f t="shared" si="11"/>
        <v>تسليم</v>
      </c>
      <c r="B152" s="180"/>
      <c r="C152" s="194"/>
      <c r="D152" s="182"/>
      <c r="E152" s="7" t="s">
        <v>51</v>
      </c>
      <c r="F152" s="6" t="s">
        <v>20</v>
      </c>
      <c r="G152" s="7">
        <v>600</v>
      </c>
      <c r="H152" s="6" t="s">
        <v>18</v>
      </c>
      <c r="I152" s="6" t="s">
        <v>75</v>
      </c>
      <c r="J152" s="198"/>
      <c r="K152" s="183"/>
      <c r="L152" s="21">
        <f>272+296.8</f>
        <v>568.79999999999995</v>
      </c>
      <c r="M152" s="21">
        <f>272+296.8</f>
        <v>568.79999999999995</v>
      </c>
      <c r="N152" s="21">
        <f t="shared" si="10"/>
        <v>0</v>
      </c>
      <c r="O152" s="23">
        <f>(G152-(G152*I157))-L152</f>
        <v>31.200000000000045</v>
      </c>
      <c r="P152" s="175"/>
    </row>
    <row r="153" spans="1:16" ht="36.75" customHeight="1" thickTop="1" thickBot="1" x14ac:dyDescent="0.35">
      <c r="A153" s="115" t="str">
        <f t="shared" si="11"/>
        <v>تسليم</v>
      </c>
      <c r="B153" s="180"/>
      <c r="C153" s="194"/>
      <c r="D153" s="182"/>
      <c r="E153" s="7" t="s">
        <v>95</v>
      </c>
      <c r="F153" s="6" t="s">
        <v>20</v>
      </c>
      <c r="G153" s="7">
        <f>G152*F156</f>
        <v>90</v>
      </c>
      <c r="H153" s="6"/>
      <c r="I153" s="6"/>
      <c r="J153" s="198"/>
      <c r="K153" s="183"/>
      <c r="L153" s="21">
        <f>38+58.2</f>
        <v>96.2</v>
      </c>
      <c r="M153" s="21">
        <f>38+58.2</f>
        <v>96.2</v>
      </c>
      <c r="N153" s="21">
        <f t="shared" si="10"/>
        <v>0</v>
      </c>
      <c r="O153" s="23">
        <f>(G153-(G153*I157))-L153</f>
        <v>-6.2000000000000028</v>
      </c>
      <c r="P153" s="175"/>
    </row>
    <row r="154" spans="1:16" ht="36.75" customHeight="1" thickTop="1" thickBot="1" x14ac:dyDescent="0.35">
      <c r="A154" s="115" t="str">
        <f t="shared" si="11"/>
        <v>تسليم</v>
      </c>
      <c r="B154" s="180"/>
      <c r="C154" s="194"/>
      <c r="D154" s="182"/>
      <c r="E154" s="7" t="s">
        <v>51</v>
      </c>
      <c r="F154" s="6" t="s">
        <v>50</v>
      </c>
      <c r="G154" s="7">
        <v>500</v>
      </c>
      <c r="H154" s="6" t="s">
        <v>18</v>
      </c>
      <c r="I154" s="6" t="s">
        <v>75</v>
      </c>
      <c r="J154" s="198"/>
      <c r="K154" s="183"/>
      <c r="L154" s="21">
        <f>325.8+228</f>
        <v>553.79999999999995</v>
      </c>
      <c r="M154" s="21">
        <f>325.8+228</f>
        <v>553.79999999999995</v>
      </c>
      <c r="N154" s="21">
        <f t="shared" si="10"/>
        <v>0</v>
      </c>
      <c r="O154" s="23">
        <f>(G154-(G154*I157))-L154</f>
        <v>-53.799999999999955</v>
      </c>
      <c r="P154" s="175"/>
    </row>
    <row r="155" spans="1:16" ht="36.75" customHeight="1" thickTop="1" thickBot="1" x14ac:dyDescent="0.35">
      <c r="A155" s="115" t="str">
        <f t="shared" si="11"/>
        <v>تسليم</v>
      </c>
      <c r="B155" s="180"/>
      <c r="C155" s="194"/>
      <c r="D155" s="182"/>
      <c r="E155" s="7" t="s">
        <v>95</v>
      </c>
      <c r="F155" s="6" t="s">
        <v>50</v>
      </c>
      <c r="G155" s="7">
        <f>G154*F156</f>
        <v>75</v>
      </c>
      <c r="H155" s="6"/>
      <c r="I155" s="6"/>
      <c r="J155" s="198"/>
      <c r="K155" s="183"/>
      <c r="L155" s="21">
        <f>61.8+56</f>
        <v>117.8</v>
      </c>
      <c r="M155" s="21">
        <f>61.8+56</f>
        <v>117.8</v>
      </c>
      <c r="N155" s="21">
        <f t="shared" si="10"/>
        <v>0</v>
      </c>
      <c r="O155" s="23">
        <f>(G155-(G155*I157))-L155</f>
        <v>-42.8</v>
      </c>
      <c r="P155" s="175"/>
    </row>
    <row r="156" spans="1:16" ht="36.75" customHeight="1" thickTop="1" thickBot="1" x14ac:dyDescent="0.35">
      <c r="A156" s="115" t="str">
        <f t="shared" si="11"/>
        <v>تسليم</v>
      </c>
      <c r="B156" s="180"/>
      <c r="C156" s="194"/>
      <c r="D156" s="182"/>
      <c r="E156" s="11" t="s">
        <v>95</v>
      </c>
      <c r="F156" s="15">
        <v>0.15</v>
      </c>
      <c r="G156" s="11">
        <f>G147+G149+G151+G153+G155</f>
        <v>780</v>
      </c>
      <c r="H156" s="12" t="s">
        <v>103</v>
      </c>
      <c r="I156" s="12">
        <f>G157</f>
        <v>5200</v>
      </c>
      <c r="J156" s="22">
        <f>(K156-(K156*I157))-L156</f>
        <v>0</v>
      </c>
      <c r="K156" s="21"/>
      <c r="L156" s="21"/>
      <c r="M156" s="21" t="s">
        <v>192</v>
      </c>
      <c r="N156" s="79" t="e">
        <f t="shared" si="10"/>
        <v>#VALUE!</v>
      </c>
      <c r="O156" s="23">
        <f>(G156-(G156*I157))-L156</f>
        <v>780</v>
      </c>
      <c r="P156" s="175"/>
    </row>
    <row r="157" spans="1:16" ht="36.75" customHeight="1" thickTop="1" thickBot="1" x14ac:dyDescent="0.35">
      <c r="A157" s="115" t="str">
        <f t="shared" si="11"/>
        <v>تسليم</v>
      </c>
      <c r="B157" s="179" t="s">
        <v>29</v>
      </c>
      <c r="C157" s="179"/>
      <c r="D157" s="179"/>
      <c r="E157" s="179"/>
      <c r="F157" s="179"/>
      <c r="G157" s="6">
        <f>G146+G148+G150+G152+G154</f>
        <v>5200</v>
      </c>
      <c r="H157" s="2" t="s">
        <v>30</v>
      </c>
      <c r="I157" s="3">
        <v>0</v>
      </c>
      <c r="J157" s="22"/>
      <c r="K157" s="21"/>
      <c r="L157" s="21">
        <f>SUM(L146:L154)</f>
        <v>5016.8999999999996</v>
      </c>
      <c r="M157" s="21">
        <f>SUM(M146:M156)</f>
        <v>5134.7</v>
      </c>
      <c r="N157" s="21">
        <f t="shared" si="10"/>
        <v>-117.80000000000018</v>
      </c>
      <c r="O157" s="23">
        <f>SUM(O146:O154)</f>
        <v>888.09999999999991</v>
      </c>
      <c r="P157" s="175"/>
    </row>
    <row r="158" spans="1:16" ht="36.75" customHeight="1" thickTop="1" thickBot="1" x14ac:dyDescent="0.35">
      <c r="A158" s="45" t="s">
        <v>48</v>
      </c>
      <c r="B158" s="45" t="s">
        <v>0</v>
      </c>
      <c r="C158" s="45" t="s">
        <v>1</v>
      </c>
      <c r="D158" s="46" t="s">
        <v>2</v>
      </c>
      <c r="E158" s="45" t="s">
        <v>3</v>
      </c>
      <c r="F158" s="45" t="s">
        <v>11</v>
      </c>
      <c r="G158" s="45" t="s">
        <v>4</v>
      </c>
      <c r="H158" s="45" t="s">
        <v>15</v>
      </c>
      <c r="I158" s="45" t="s">
        <v>16</v>
      </c>
      <c r="J158" s="45" t="s">
        <v>56</v>
      </c>
      <c r="K158" s="45" t="s">
        <v>12</v>
      </c>
      <c r="L158" s="45" t="s">
        <v>13</v>
      </c>
      <c r="M158" s="45" t="s">
        <v>101</v>
      </c>
      <c r="N158" s="45" t="s">
        <v>100</v>
      </c>
      <c r="O158" s="45" t="s">
        <v>102</v>
      </c>
      <c r="P158" s="45" t="s">
        <v>5</v>
      </c>
    </row>
    <row r="159" spans="1:16" ht="36.75" customHeight="1" thickTop="1" thickBot="1" x14ac:dyDescent="0.35">
      <c r="A159" s="7" t="str">
        <f>A158</f>
        <v>تسليم</v>
      </c>
      <c r="B159" s="164">
        <v>45966</v>
      </c>
      <c r="C159" s="166" t="s">
        <v>98</v>
      </c>
      <c r="D159" s="168" t="s">
        <v>47</v>
      </c>
      <c r="E159" s="7" t="s">
        <v>51</v>
      </c>
      <c r="F159" s="6" t="s">
        <v>39</v>
      </c>
      <c r="G159" s="7">
        <v>500</v>
      </c>
      <c r="H159" s="6" t="s">
        <v>18</v>
      </c>
      <c r="I159" s="6" t="s">
        <v>75</v>
      </c>
      <c r="J159" s="154">
        <f>(K159-(K159*I172))-L172</f>
        <v>-2176.8999999999996</v>
      </c>
      <c r="K159" s="156"/>
      <c r="L159" s="21">
        <f>349</f>
        <v>349</v>
      </c>
      <c r="M159" s="21">
        <f>349</f>
        <v>349</v>
      </c>
      <c r="N159" s="21"/>
      <c r="O159" s="23">
        <f>(G159-(G159*I172))-L159</f>
        <v>151</v>
      </c>
      <c r="P159" s="175" t="s">
        <v>57</v>
      </c>
    </row>
    <row r="160" spans="1:16" ht="36.75" customHeight="1" thickTop="1" thickBot="1" x14ac:dyDescent="0.35">
      <c r="A160" s="7" t="str">
        <f t="shared" ref="A160:A172" si="12">A159</f>
        <v>تسليم</v>
      </c>
      <c r="B160" s="165"/>
      <c r="C160" s="167"/>
      <c r="D160" s="169"/>
      <c r="E160" s="7" t="s">
        <v>95</v>
      </c>
      <c r="F160" s="6" t="s">
        <v>39</v>
      </c>
      <c r="G160" s="7">
        <f>G159*F171</f>
        <v>75</v>
      </c>
      <c r="H160" s="6"/>
      <c r="I160" s="6"/>
      <c r="J160" s="155"/>
      <c r="K160" s="157"/>
      <c r="L160" s="21">
        <v>50.6</v>
      </c>
      <c r="M160" s="21">
        <f>50.6</f>
        <v>50.6</v>
      </c>
      <c r="N160" s="21"/>
      <c r="O160" s="23">
        <f>(G160-(G160*I172))-L160</f>
        <v>24.4</v>
      </c>
      <c r="P160" s="175"/>
    </row>
    <row r="161" spans="1:16" ht="36.75" customHeight="1" thickTop="1" thickBot="1" x14ac:dyDescent="0.35">
      <c r="A161" s="7" t="str">
        <f t="shared" si="12"/>
        <v>تسليم</v>
      </c>
      <c r="B161" s="165"/>
      <c r="C161" s="167"/>
      <c r="D161" s="169"/>
      <c r="E161" s="7" t="s">
        <v>51</v>
      </c>
      <c r="F161" s="6" t="s">
        <v>69</v>
      </c>
      <c r="G161" s="7">
        <v>300</v>
      </c>
      <c r="H161" s="6" t="s">
        <v>18</v>
      </c>
      <c r="I161" s="6" t="s">
        <v>75</v>
      </c>
      <c r="J161" s="155"/>
      <c r="K161" s="157"/>
      <c r="L161" s="21">
        <v>301</v>
      </c>
      <c r="M161" s="21">
        <v>301</v>
      </c>
      <c r="N161" s="21"/>
      <c r="O161" s="23">
        <f>(G161-(G161*I172))-L161</f>
        <v>-1</v>
      </c>
      <c r="P161" s="175"/>
    </row>
    <row r="162" spans="1:16" ht="36.75" customHeight="1" thickTop="1" thickBot="1" x14ac:dyDescent="0.35">
      <c r="A162" s="7" t="str">
        <f t="shared" si="12"/>
        <v>تسليم</v>
      </c>
      <c r="B162" s="165"/>
      <c r="C162" s="167"/>
      <c r="D162" s="169"/>
      <c r="E162" s="7" t="s">
        <v>95</v>
      </c>
      <c r="F162" s="6" t="s">
        <v>69</v>
      </c>
      <c r="G162" s="7">
        <f>G161*F171</f>
        <v>45</v>
      </c>
      <c r="H162" s="6"/>
      <c r="I162" s="6"/>
      <c r="J162" s="155"/>
      <c r="K162" s="157"/>
      <c r="L162" s="21">
        <v>48</v>
      </c>
      <c r="M162" s="21">
        <f>48</f>
        <v>48</v>
      </c>
      <c r="N162" s="21"/>
      <c r="O162" s="23">
        <f>(G162-(G162*I172))-L162</f>
        <v>-3</v>
      </c>
      <c r="P162" s="175"/>
    </row>
    <row r="163" spans="1:16" ht="36.75" customHeight="1" thickTop="1" thickBot="1" x14ac:dyDescent="0.35">
      <c r="A163" s="7" t="str">
        <f t="shared" si="12"/>
        <v>تسليم</v>
      </c>
      <c r="B163" s="165"/>
      <c r="C163" s="167"/>
      <c r="D163" s="169"/>
      <c r="E163" s="7" t="s">
        <v>51</v>
      </c>
      <c r="F163" s="6" t="s">
        <v>17</v>
      </c>
      <c r="G163" s="7">
        <v>300</v>
      </c>
      <c r="H163" s="6" t="s">
        <v>18</v>
      </c>
      <c r="I163" s="6" t="s">
        <v>75</v>
      </c>
      <c r="J163" s="155"/>
      <c r="K163" s="157"/>
      <c r="L163" s="21">
        <v>303.60000000000002</v>
      </c>
      <c r="M163" s="21">
        <v>303.60000000000002</v>
      </c>
      <c r="N163" s="21"/>
      <c r="O163" s="23">
        <f>(G163-(G163*I172))-L163</f>
        <v>-3.6000000000000227</v>
      </c>
      <c r="P163" s="175"/>
    </row>
    <row r="164" spans="1:16" ht="36.75" customHeight="1" thickTop="1" thickBot="1" x14ac:dyDescent="0.35">
      <c r="A164" s="7" t="str">
        <f t="shared" si="12"/>
        <v>تسليم</v>
      </c>
      <c r="B164" s="165"/>
      <c r="C164" s="167"/>
      <c r="D164" s="169"/>
      <c r="E164" s="7" t="s">
        <v>95</v>
      </c>
      <c r="F164" s="6" t="s">
        <v>17</v>
      </c>
      <c r="G164" s="7">
        <f>G163*F171</f>
        <v>45</v>
      </c>
      <c r="H164" s="6"/>
      <c r="I164" s="6"/>
      <c r="J164" s="155"/>
      <c r="K164" s="157"/>
      <c r="L164" s="21">
        <v>36.299999999999997</v>
      </c>
      <c r="M164" s="21">
        <f>36.3</f>
        <v>36.299999999999997</v>
      </c>
      <c r="N164" s="21"/>
      <c r="O164" s="23">
        <f>(G164-(G164*I172))-L164</f>
        <v>8.7000000000000028</v>
      </c>
      <c r="P164" s="175"/>
    </row>
    <row r="165" spans="1:16" ht="36.75" customHeight="1" thickTop="1" thickBot="1" x14ac:dyDescent="0.35">
      <c r="A165" s="7" t="str">
        <f t="shared" si="12"/>
        <v>تسليم</v>
      </c>
      <c r="B165" s="165"/>
      <c r="C165" s="167"/>
      <c r="D165" s="169"/>
      <c r="E165" s="7" t="s">
        <v>51</v>
      </c>
      <c r="F165" s="6" t="s">
        <v>53</v>
      </c>
      <c r="G165" s="7">
        <v>300</v>
      </c>
      <c r="H165" s="6" t="s">
        <v>18</v>
      </c>
      <c r="I165" s="6" t="s">
        <v>75</v>
      </c>
      <c r="J165" s="155"/>
      <c r="K165" s="157"/>
      <c r="L165" s="21">
        <v>315.3</v>
      </c>
      <c r="M165" s="21">
        <v>315.3</v>
      </c>
      <c r="N165" s="21"/>
      <c r="O165" s="23">
        <f>(G165-(G165*I172))-L165</f>
        <v>-15.300000000000011</v>
      </c>
      <c r="P165" s="175"/>
    </row>
    <row r="166" spans="1:16" ht="36.75" customHeight="1" thickTop="1" thickBot="1" x14ac:dyDescent="0.35">
      <c r="A166" s="7" t="str">
        <f t="shared" si="12"/>
        <v>تسليم</v>
      </c>
      <c r="B166" s="165"/>
      <c r="C166" s="167"/>
      <c r="D166" s="169"/>
      <c r="E166" s="7" t="s">
        <v>95</v>
      </c>
      <c r="F166" s="6" t="s">
        <v>53</v>
      </c>
      <c r="G166" s="7">
        <f>G165*F171</f>
        <v>45</v>
      </c>
      <c r="H166" s="6"/>
      <c r="I166" s="6"/>
      <c r="J166" s="155"/>
      <c r="K166" s="157"/>
      <c r="L166" s="21">
        <v>51.2</v>
      </c>
      <c r="M166" s="21">
        <f>51.2</f>
        <v>51.2</v>
      </c>
      <c r="N166" s="21"/>
      <c r="O166" s="23">
        <f>(G166-(G166*I172))-L166</f>
        <v>-6.2000000000000028</v>
      </c>
      <c r="P166" s="175"/>
    </row>
    <row r="167" spans="1:16" ht="36.75" customHeight="1" thickTop="1" thickBot="1" x14ac:dyDescent="0.35">
      <c r="A167" s="7" t="str">
        <f t="shared" si="12"/>
        <v>تسليم</v>
      </c>
      <c r="B167" s="165"/>
      <c r="C167" s="167"/>
      <c r="D167" s="169"/>
      <c r="E167" s="7" t="s">
        <v>51</v>
      </c>
      <c r="F167" s="6" t="s">
        <v>99</v>
      </c>
      <c r="G167" s="7">
        <v>300</v>
      </c>
      <c r="H167" s="6" t="s">
        <v>18</v>
      </c>
      <c r="I167" s="6" t="s">
        <v>75</v>
      </c>
      <c r="J167" s="155"/>
      <c r="K167" s="157"/>
      <c r="L167" s="21">
        <v>321.2</v>
      </c>
      <c r="M167" s="21">
        <f>321.2</f>
        <v>321.2</v>
      </c>
      <c r="N167" s="21"/>
      <c r="O167" s="23">
        <f>(G167-(G167*I172))-L167</f>
        <v>-21.199999999999989</v>
      </c>
      <c r="P167" s="175"/>
    </row>
    <row r="168" spans="1:16" ht="36.75" customHeight="1" thickTop="1" thickBot="1" x14ac:dyDescent="0.35">
      <c r="A168" s="7" t="str">
        <f t="shared" si="12"/>
        <v>تسليم</v>
      </c>
      <c r="B168" s="165"/>
      <c r="C168" s="167"/>
      <c r="D168" s="169"/>
      <c r="E168" s="7" t="s">
        <v>95</v>
      </c>
      <c r="F168" s="6" t="s">
        <v>99</v>
      </c>
      <c r="G168" s="7">
        <f>G167*F171</f>
        <v>45</v>
      </c>
      <c r="H168" s="6"/>
      <c r="I168" s="6"/>
      <c r="J168" s="155"/>
      <c r="K168" s="157"/>
      <c r="L168" s="21">
        <v>50.6</v>
      </c>
      <c r="M168" s="21">
        <f>50.6</f>
        <v>50.6</v>
      </c>
      <c r="N168" s="21"/>
      <c r="O168" s="23">
        <f>(G168-(G168*I172))-L168</f>
        <v>-5.6000000000000014</v>
      </c>
      <c r="P168" s="175"/>
    </row>
    <row r="169" spans="1:16" ht="36.75" customHeight="1" thickTop="1" thickBot="1" x14ac:dyDescent="0.35">
      <c r="A169" s="7" t="str">
        <f t="shared" si="12"/>
        <v>تسليم</v>
      </c>
      <c r="B169" s="165"/>
      <c r="C169" s="167"/>
      <c r="D169" s="169"/>
      <c r="E169" s="7" t="s">
        <v>51</v>
      </c>
      <c r="F169" s="6" t="s">
        <v>20</v>
      </c>
      <c r="G169" s="7">
        <v>300</v>
      </c>
      <c r="H169" s="6" t="s">
        <v>18</v>
      </c>
      <c r="I169" s="6" t="s">
        <v>75</v>
      </c>
      <c r="J169" s="155"/>
      <c r="K169" s="157"/>
      <c r="L169" s="21">
        <v>302.89999999999998</v>
      </c>
      <c r="M169" s="21">
        <v>302.89999999999998</v>
      </c>
      <c r="N169" s="21"/>
      <c r="O169" s="23">
        <f>(G169-(G169*I172))-L169</f>
        <v>-2.8999999999999773</v>
      </c>
      <c r="P169" s="175"/>
    </row>
    <row r="170" spans="1:16" ht="36.75" customHeight="1" thickTop="1" thickBot="1" x14ac:dyDescent="0.35">
      <c r="A170" s="7" t="str">
        <f t="shared" si="12"/>
        <v>تسليم</v>
      </c>
      <c r="B170" s="165"/>
      <c r="C170" s="167"/>
      <c r="D170" s="169"/>
      <c r="E170" s="7" t="s">
        <v>95</v>
      </c>
      <c r="F170" s="6" t="s">
        <v>20</v>
      </c>
      <c r="G170" s="7">
        <f>G169*F171</f>
        <v>45</v>
      </c>
      <c r="H170" s="6"/>
      <c r="I170" s="6"/>
      <c r="J170" s="173"/>
      <c r="K170" s="174"/>
      <c r="L170" s="21">
        <v>47.2</v>
      </c>
      <c r="M170" s="21">
        <f>47.2</f>
        <v>47.2</v>
      </c>
      <c r="N170" s="21"/>
      <c r="O170" s="23">
        <f>(G170-(G170*I172))-L170</f>
        <v>-2.2000000000000028</v>
      </c>
      <c r="P170" s="175"/>
    </row>
    <row r="171" spans="1:16" ht="36.75" customHeight="1" thickTop="1" thickBot="1" x14ac:dyDescent="0.35">
      <c r="A171" s="7" t="str">
        <f t="shared" si="12"/>
        <v>تسليم</v>
      </c>
      <c r="B171" s="170"/>
      <c r="C171" s="171"/>
      <c r="D171" s="172"/>
      <c r="E171" s="11" t="s">
        <v>95</v>
      </c>
      <c r="F171" s="15">
        <v>0.15</v>
      </c>
      <c r="G171" s="11">
        <f>G170+G168+G166+G164+G162+G160</f>
        <v>300</v>
      </c>
      <c r="H171" s="12" t="s">
        <v>103</v>
      </c>
      <c r="I171" s="12">
        <f>G172</f>
        <v>2000</v>
      </c>
      <c r="J171" s="22">
        <f>(K171-(K171*I172))-L171</f>
        <v>0</v>
      </c>
      <c r="K171" s="21"/>
      <c r="L171" s="21"/>
      <c r="M171" s="21"/>
      <c r="N171" s="21"/>
      <c r="O171" s="23">
        <f>(G171-(G171*I172))-L171</f>
        <v>300</v>
      </c>
      <c r="P171" s="175"/>
    </row>
    <row r="172" spans="1:16" ht="36.75" customHeight="1" thickTop="1" thickBot="1" x14ac:dyDescent="0.35">
      <c r="A172" s="7" t="str">
        <f t="shared" si="12"/>
        <v>تسليم</v>
      </c>
      <c r="B172" s="161" t="s">
        <v>29</v>
      </c>
      <c r="C172" s="162"/>
      <c r="D172" s="162"/>
      <c r="E172" s="162"/>
      <c r="F172" s="163"/>
      <c r="G172" s="6">
        <f>G169+G167+G165+G163+G161+G159</f>
        <v>2000</v>
      </c>
      <c r="H172" s="2" t="s">
        <v>30</v>
      </c>
      <c r="I172" s="3">
        <v>0</v>
      </c>
      <c r="J172" s="22"/>
      <c r="K172" s="21"/>
      <c r="L172" s="21">
        <f>SUM(L159:L170)</f>
        <v>2176.8999999999996</v>
      </c>
      <c r="M172" s="21"/>
      <c r="N172" s="21"/>
      <c r="O172" s="23">
        <f>SUM(O159:O171)</f>
        <v>423.1</v>
      </c>
      <c r="P172" s="175"/>
    </row>
    <row r="173" spans="1:16" ht="36.75" customHeight="1" thickTop="1" thickBot="1" x14ac:dyDescent="0.35">
      <c r="A173" s="4" t="s">
        <v>48</v>
      </c>
      <c r="B173" s="4" t="s">
        <v>0</v>
      </c>
      <c r="C173" s="4" t="s">
        <v>1</v>
      </c>
      <c r="D173" s="5" t="s">
        <v>2</v>
      </c>
      <c r="E173" s="4" t="s">
        <v>3</v>
      </c>
      <c r="F173" s="4" t="s">
        <v>11</v>
      </c>
      <c r="G173" s="4" t="s">
        <v>4</v>
      </c>
      <c r="H173" s="4" t="s">
        <v>15</v>
      </c>
      <c r="I173" s="97" t="s">
        <v>16</v>
      </c>
      <c r="J173" s="97" t="s">
        <v>56</v>
      </c>
      <c r="K173" s="97" t="s">
        <v>12</v>
      </c>
      <c r="L173" s="97" t="s">
        <v>13</v>
      </c>
      <c r="M173" s="97" t="s">
        <v>101</v>
      </c>
      <c r="N173" s="97" t="s">
        <v>100</v>
      </c>
      <c r="O173" s="97" t="s">
        <v>102</v>
      </c>
      <c r="P173" s="97" t="s">
        <v>5</v>
      </c>
    </row>
    <row r="174" spans="1:16" ht="36.75" customHeight="1" thickTop="1" thickBot="1" x14ac:dyDescent="0.35">
      <c r="A174" s="7" t="str">
        <f>A173</f>
        <v>تسليم</v>
      </c>
      <c r="B174" s="164">
        <v>45973</v>
      </c>
      <c r="C174" s="166" t="s">
        <v>104</v>
      </c>
      <c r="D174" s="168" t="s">
        <v>47</v>
      </c>
      <c r="E174" s="7" t="s">
        <v>51</v>
      </c>
      <c r="F174" s="6" t="s">
        <v>105</v>
      </c>
      <c r="G174" s="7">
        <v>250</v>
      </c>
      <c r="H174" s="6" t="s">
        <v>18</v>
      </c>
      <c r="I174" s="6" t="s">
        <v>75</v>
      </c>
      <c r="J174" s="154">
        <f>(K174-(K174*I181))-L181</f>
        <v>-1139.7</v>
      </c>
      <c r="K174" s="156"/>
      <c r="L174" s="21">
        <v>219.1</v>
      </c>
      <c r="M174" s="21">
        <f>219.1</f>
        <v>219.1</v>
      </c>
      <c r="N174" s="21"/>
      <c r="O174" s="23">
        <f>(G174-(G174*I181))-L174</f>
        <v>30.900000000000006</v>
      </c>
      <c r="P174" s="175" t="s">
        <v>57</v>
      </c>
    </row>
    <row r="175" spans="1:16" ht="36.75" customHeight="1" thickTop="1" thickBot="1" x14ac:dyDescent="0.35">
      <c r="A175" s="7" t="str">
        <f t="shared" ref="A175:A180" si="13">A174</f>
        <v>تسليم</v>
      </c>
      <c r="B175" s="165"/>
      <c r="C175" s="167"/>
      <c r="D175" s="169"/>
      <c r="E175" s="7" t="s">
        <v>95</v>
      </c>
      <c r="F175" s="6" t="str">
        <f>F174</f>
        <v>لبني</v>
      </c>
      <c r="G175" s="7">
        <f>G174*F180</f>
        <v>37.5</v>
      </c>
      <c r="H175" s="6"/>
      <c r="I175" s="6"/>
      <c r="J175" s="155"/>
      <c r="K175" s="157"/>
      <c r="L175" s="21">
        <v>36.4</v>
      </c>
      <c r="M175" s="21">
        <f>36.4</f>
        <v>36.4</v>
      </c>
      <c r="N175" s="21"/>
      <c r="O175" s="23">
        <f>(G175-(G175*I181))-L175</f>
        <v>1.1000000000000014</v>
      </c>
      <c r="P175" s="175"/>
    </row>
    <row r="176" spans="1:16" ht="36.75" customHeight="1" thickTop="1" thickBot="1" x14ac:dyDescent="0.35">
      <c r="A176" s="7" t="str">
        <f t="shared" si="13"/>
        <v>تسليم</v>
      </c>
      <c r="B176" s="165"/>
      <c r="C176" s="167"/>
      <c r="D176" s="169"/>
      <c r="E176" s="7" t="s">
        <v>51</v>
      </c>
      <c r="F176" s="6" t="s">
        <v>50</v>
      </c>
      <c r="G176" s="7">
        <v>500</v>
      </c>
      <c r="H176" s="6" t="s">
        <v>18</v>
      </c>
      <c r="I176" s="6" t="s">
        <v>75</v>
      </c>
      <c r="J176" s="155"/>
      <c r="K176" s="157"/>
      <c r="L176" s="21">
        <v>473.9</v>
      </c>
      <c r="M176" s="21">
        <f>473.9</f>
        <v>473.9</v>
      </c>
      <c r="N176" s="21"/>
      <c r="O176" s="23">
        <f>(G176-(G176*I181))-L176</f>
        <v>26.100000000000023</v>
      </c>
      <c r="P176" s="175"/>
    </row>
    <row r="177" spans="1:16" ht="36.75" customHeight="1" thickTop="1" thickBot="1" x14ac:dyDescent="0.35">
      <c r="A177" s="7" t="str">
        <f t="shared" si="13"/>
        <v>تسليم</v>
      </c>
      <c r="B177" s="165"/>
      <c r="C177" s="167"/>
      <c r="D177" s="169"/>
      <c r="E177" s="7" t="s">
        <v>95</v>
      </c>
      <c r="F177" s="6" t="str">
        <f>F176</f>
        <v xml:space="preserve">كحلي </v>
      </c>
      <c r="G177" s="7">
        <f>G176*F180</f>
        <v>75</v>
      </c>
      <c r="H177" s="6"/>
      <c r="I177" s="6"/>
      <c r="J177" s="155"/>
      <c r="K177" s="157"/>
      <c r="L177" s="21">
        <v>62.7</v>
      </c>
      <c r="M177" s="21">
        <f>62.7</f>
        <v>62.7</v>
      </c>
      <c r="N177" s="21"/>
      <c r="O177" s="23">
        <f>(G177-(G177*I181))-L177</f>
        <v>12.299999999999997</v>
      </c>
      <c r="P177" s="175"/>
    </row>
    <row r="178" spans="1:16" ht="36.75" customHeight="1" thickTop="1" thickBot="1" x14ac:dyDescent="0.35">
      <c r="A178" s="7" t="str">
        <f t="shared" si="13"/>
        <v>تسليم</v>
      </c>
      <c r="B178" s="165"/>
      <c r="C178" s="167"/>
      <c r="D178" s="169"/>
      <c r="E178" s="7" t="s">
        <v>51</v>
      </c>
      <c r="F178" s="6" t="s">
        <v>53</v>
      </c>
      <c r="G178" s="7">
        <v>250</v>
      </c>
      <c r="H178" s="6" t="s">
        <v>18</v>
      </c>
      <c r="I178" s="6" t="s">
        <v>75</v>
      </c>
      <c r="J178" s="155"/>
      <c r="K178" s="157"/>
      <c r="L178" s="21">
        <v>296.2</v>
      </c>
      <c r="M178" s="21">
        <f>296.2</f>
        <v>296.2</v>
      </c>
      <c r="N178" s="21"/>
      <c r="O178" s="23">
        <f>(G178-(G178*I181))-L178</f>
        <v>-46.199999999999989</v>
      </c>
      <c r="P178" s="175"/>
    </row>
    <row r="179" spans="1:16" ht="36.75" customHeight="1" thickTop="1" thickBot="1" x14ac:dyDescent="0.35">
      <c r="A179" s="7" t="str">
        <f t="shared" si="13"/>
        <v>تسليم</v>
      </c>
      <c r="B179" s="165"/>
      <c r="C179" s="167"/>
      <c r="D179" s="169"/>
      <c r="E179" s="7" t="s">
        <v>95</v>
      </c>
      <c r="F179" s="6" t="str">
        <f>F178</f>
        <v>روز</v>
      </c>
      <c r="G179" s="7">
        <f>G178*F180</f>
        <v>37.5</v>
      </c>
      <c r="H179" s="6"/>
      <c r="I179" s="6"/>
      <c r="J179" s="173"/>
      <c r="K179" s="27"/>
      <c r="L179" s="21">
        <v>51.4</v>
      </c>
      <c r="M179" s="21">
        <f>51.4</f>
        <v>51.4</v>
      </c>
      <c r="N179" s="21"/>
      <c r="O179" s="23">
        <f>(G179-(G179*I181))-L179</f>
        <v>-13.899999999999999</v>
      </c>
      <c r="P179" s="175"/>
    </row>
    <row r="180" spans="1:16" ht="36.75" customHeight="1" thickTop="1" thickBot="1" x14ac:dyDescent="0.35">
      <c r="A180" s="7" t="str">
        <f t="shared" si="13"/>
        <v>تسليم</v>
      </c>
      <c r="B180" s="170"/>
      <c r="C180" s="171"/>
      <c r="D180" s="172"/>
      <c r="E180" s="11" t="s">
        <v>95</v>
      </c>
      <c r="F180" s="15">
        <v>0.15</v>
      </c>
      <c r="G180" s="11">
        <f>G175+G177+G179</f>
        <v>150</v>
      </c>
      <c r="H180" s="12" t="s">
        <v>103</v>
      </c>
      <c r="I180" s="12">
        <f>G181</f>
        <v>1000</v>
      </c>
      <c r="J180" s="22">
        <f>(K180-(K180*I181))-L180</f>
        <v>0</v>
      </c>
      <c r="K180" s="21"/>
      <c r="L180" s="21"/>
      <c r="M180" s="21"/>
      <c r="N180" s="21"/>
      <c r="O180" s="23">
        <f>(G180-(G180*I181))-L180</f>
        <v>150</v>
      </c>
      <c r="P180" s="175"/>
    </row>
    <row r="181" spans="1:16" ht="36.75" customHeight="1" thickTop="1" thickBot="1" x14ac:dyDescent="0.35">
      <c r="A181" s="17" t="str">
        <f>A173</f>
        <v>تسليم</v>
      </c>
      <c r="B181" s="185" t="s">
        <v>29</v>
      </c>
      <c r="C181" s="186"/>
      <c r="D181" s="186"/>
      <c r="E181" s="186"/>
      <c r="F181" s="187"/>
      <c r="G181" s="32">
        <f>G174+G176+G178</f>
        <v>1000</v>
      </c>
      <c r="H181" s="33" t="s">
        <v>30</v>
      </c>
      <c r="I181" s="34">
        <v>0</v>
      </c>
      <c r="J181" s="24"/>
      <c r="K181" s="26"/>
      <c r="L181" s="26">
        <f>SUM(L174:L179)</f>
        <v>1139.7</v>
      </c>
      <c r="M181" s="26"/>
      <c r="N181" s="26"/>
      <c r="O181" s="37">
        <f>SUM(O174:O180)</f>
        <v>160.30000000000004</v>
      </c>
      <c r="P181" s="184"/>
    </row>
    <row r="182" spans="1:16" ht="36.75" customHeight="1" thickTop="1" thickBot="1" x14ac:dyDescent="0.35">
      <c r="A182" s="4" t="s">
        <v>48</v>
      </c>
      <c r="B182" s="4" t="s">
        <v>0</v>
      </c>
      <c r="C182" s="4" t="s">
        <v>1</v>
      </c>
      <c r="D182" s="5" t="s">
        <v>2</v>
      </c>
      <c r="E182" s="4" t="s">
        <v>3</v>
      </c>
      <c r="F182" s="4" t="s">
        <v>11</v>
      </c>
      <c r="G182" s="4" t="s">
        <v>4</v>
      </c>
      <c r="H182" s="4" t="s">
        <v>15</v>
      </c>
      <c r="I182" s="97" t="s">
        <v>16</v>
      </c>
      <c r="J182" s="97" t="s">
        <v>56</v>
      </c>
      <c r="K182" s="97" t="s">
        <v>12</v>
      </c>
      <c r="L182" s="97" t="s">
        <v>13</v>
      </c>
      <c r="M182" s="97" t="s">
        <v>101</v>
      </c>
      <c r="N182" s="97" t="s">
        <v>100</v>
      </c>
      <c r="O182" s="97" t="s">
        <v>102</v>
      </c>
      <c r="P182" s="97" t="s">
        <v>5</v>
      </c>
    </row>
    <row r="183" spans="1:16" ht="36.75" customHeight="1" thickTop="1" thickBot="1" x14ac:dyDescent="0.35">
      <c r="A183" s="40" t="s">
        <v>48</v>
      </c>
      <c r="B183" s="165">
        <v>45983</v>
      </c>
      <c r="C183" s="167" t="s">
        <v>76</v>
      </c>
      <c r="D183" s="169" t="s">
        <v>47</v>
      </c>
      <c r="E183" s="40" t="s">
        <v>51</v>
      </c>
      <c r="F183" s="41" t="s">
        <v>105</v>
      </c>
      <c r="G183" s="40">
        <v>500</v>
      </c>
      <c r="H183" s="41" t="s">
        <v>18</v>
      </c>
      <c r="I183" s="41" t="s">
        <v>75</v>
      </c>
      <c r="J183" s="155">
        <f>(K183-(K183*I190))-L190</f>
        <v>-1990.4</v>
      </c>
      <c r="K183" s="157"/>
      <c r="L183" s="28">
        <f>588</f>
        <v>588</v>
      </c>
      <c r="M183" s="28">
        <v>588</v>
      </c>
      <c r="N183" s="28"/>
      <c r="O183" s="47">
        <f>(G183-(G183*I190))-L183</f>
        <v>-88</v>
      </c>
      <c r="P183" s="193" t="s">
        <v>57</v>
      </c>
    </row>
    <row r="184" spans="1:16" ht="36.75" customHeight="1" thickTop="1" thickBot="1" x14ac:dyDescent="0.35">
      <c r="A184" s="7" t="s">
        <v>48</v>
      </c>
      <c r="B184" s="165"/>
      <c r="C184" s="167"/>
      <c r="D184" s="169"/>
      <c r="E184" s="7" t="s">
        <v>95</v>
      </c>
      <c r="F184" s="6" t="str">
        <f>F183</f>
        <v>لبني</v>
      </c>
      <c r="G184" s="7">
        <f>G183*F189</f>
        <v>75</v>
      </c>
      <c r="H184" s="6"/>
      <c r="I184" s="6"/>
      <c r="J184" s="155"/>
      <c r="K184" s="157"/>
      <c r="L184" s="21">
        <f>71</f>
        <v>71</v>
      </c>
      <c r="M184" s="21">
        <v>71</v>
      </c>
      <c r="N184" s="21"/>
      <c r="O184" s="23">
        <f>(G184-(G184*I190))-L184</f>
        <v>4</v>
      </c>
      <c r="P184" s="175"/>
    </row>
    <row r="185" spans="1:16" ht="36.75" customHeight="1" thickTop="1" thickBot="1" x14ac:dyDescent="0.35">
      <c r="A185" s="7" t="s">
        <v>48</v>
      </c>
      <c r="B185" s="165"/>
      <c r="C185" s="167"/>
      <c r="D185" s="169"/>
      <c r="E185" s="7" t="s">
        <v>51</v>
      </c>
      <c r="F185" s="6" t="s">
        <v>20</v>
      </c>
      <c r="G185" s="7">
        <v>500</v>
      </c>
      <c r="H185" s="6" t="s">
        <v>18</v>
      </c>
      <c r="I185" s="6" t="s">
        <v>75</v>
      </c>
      <c r="J185" s="155"/>
      <c r="K185" s="157"/>
      <c r="L185" s="21">
        <v>569</v>
      </c>
      <c r="M185" s="21">
        <v>569</v>
      </c>
      <c r="N185" s="21"/>
      <c r="O185" s="23">
        <f>(G185-(G185*I190))-L185</f>
        <v>-69</v>
      </c>
      <c r="P185" s="175"/>
    </row>
    <row r="186" spans="1:16" ht="36.75" customHeight="1" thickTop="1" thickBot="1" x14ac:dyDescent="0.35">
      <c r="A186" s="7" t="s">
        <v>48</v>
      </c>
      <c r="B186" s="165"/>
      <c r="C186" s="167"/>
      <c r="D186" s="169"/>
      <c r="E186" s="7" t="s">
        <v>95</v>
      </c>
      <c r="F186" s="6" t="str">
        <f>F185</f>
        <v>بيج</v>
      </c>
      <c r="G186" s="7">
        <f>G185*F189</f>
        <v>75</v>
      </c>
      <c r="H186" s="6"/>
      <c r="I186" s="6"/>
      <c r="J186" s="155"/>
      <c r="K186" s="157"/>
      <c r="L186" s="21">
        <v>90</v>
      </c>
      <c r="M186" s="21">
        <v>90</v>
      </c>
      <c r="N186" s="21"/>
      <c r="O186" s="23">
        <f>(G186-(G186*I190))-L186</f>
        <v>-15</v>
      </c>
      <c r="P186" s="175"/>
    </row>
    <row r="187" spans="1:16" ht="36.75" customHeight="1" thickTop="1" thickBot="1" x14ac:dyDescent="0.35">
      <c r="A187" s="7" t="s">
        <v>48</v>
      </c>
      <c r="B187" s="165"/>
      <c r="C187" s="167"/>
      <c r="D187" s="169"/>
      <c r="E187" s="7" t="s">
        <v>51</v>
      </c>
      <c r="F187" s="6" t="s">
        <v>17</v>
      </c>
      <c r="G187" s="7">
        <v>500</v>
      </c>
      <c r="H187" s="6" t="s">
        <v>18</v>
      </c>
      <c r="I187" s="6" t="s">
        <v>75</v>
      </c>
      <c r="J187" s="155"/>
      <c r="K187" s="157"/>
      <c r="L187" s="21">
        <v>554.4</v>
      </c>
      <c r="M187" s="21">
        <v>554.4</v>
      </c>
      <c r="N187" s="21"/>
      <c r="O187" s="23">
        <f>(G187-(G187*I190))-L187</f>
        <v>-54.399999999999977</v>
      </c>
      <c r="P187" s="175"/>
    </row>
    <row r="188" spans="1:16" ht="36.75" customHeight="1" thickTop="1" thickBot="1" x14ac:dyDescent="0.35">
      <c r="A188" s="7" t="str">
        <f t="shared" ref="A188:A189" si="14">A187</f>
        <v>تسليم</v>
      </c>
      <c r="B188" s="165"/>
      <c r="C188" s="167"/>
      <c r="D188" s="169"/>
      <c r="E188" s="7" t="s">
        <v>95</v>
      </c>
      <c r="F188" s="6" t="str">
        <f>F187</f>
        <v>اسود</v>
      </c>
      <c r="G188" s="7">
        <f>G187*F189</f>
        <v>75</v>
      </c>
      <c r="H188" s="6"/>
      <c r="I188" s="6"/>
      <c r="J188" s="173"/>
      <c r="K188" s="174"/>
      <c r="L188" s="21">
        <v>118</v>
      </c>
      <c r="M188" s="21">
        <v>118</v>
      </c>
      <c r="N188" s="21"/>
      <c r="O188" s="23">
        <f>(G188-(G188*I190))-L188</f>
        <v>-43</v>
      </c>
      <c r="P188" s="175"/>
    </row>
    <row r="189" spans="1:16" ht="36.75" customHeight="1" thickTop="1" thickBot="1" x14ac:dyDescent="0.35">
      <c r="A189" s="7" t="str">
        <f t="shared" si="14"/>
        <v>تسليم</v>
      </c>
      <c r="B189" s="170"/>
      <c r="C189" s="171"/>
      <c r="D189" s="172"/>
      <c r="E189" s="11" t="s">
        <v>95</v>
      </c>
      <c r="F189" s="15">
        <v>0.15</v>
      </c>
      <c r="G189" s="11">
        <f>G184+G186+G188</f>
        <v>225</v>
      </c>
      <c r="H189" s="12" t="s">
        <v>103</v>
      </c>
      <c r="I189" s="12">
        <f>G190</f>
        <v>1500</v>
      </c>
      <c r="J189" s="22">
        <f>(K189-(K189*I190))-L189</f>
        <v>0</v>
      </c>
      <c r="K189" s="21"/>
      <c r="L189" s="21"/>
      <c r="M189" s="21"/>
      <c r="N189" s="21"/>
      <c r="O189" s="23">
        <f>(G189-(G189*I190))-L189</f>
        <v>225</v>
      </c>
      <c r="P189" s="175"/>
    </row>
    <row r="190" spans="1:16" ht="36.75" customHeight="1" thickTop="1" thickBot="1" x14ac:dyDescent="0.35">
      <c r="A190" s="17" t="s">
        <v>48</v>
      </c>
      <c r="B190" s="185" t="s">
        <v>29</v>
      </c>
      <c r="C190" s="186"/>
      <c r="D190" s="186"/>
      <c r="E190" s="186"/>
      <c r="F190" s="187"/>
      <c r="G190" s="32">
        <f>G183+G185+G187</f>
        <v>1500</v>
      </c>
      <c r="H190" s="33" t="s">
        <v>30</v>
      </c>
      <c r="I190" s="34">
        <v>0</v>
      </c>
      <c r="J190" s="24"/>
      <c r="K190" s="26"/>
      <c r="L190" s="26">
        <f>SUM(L183:L188)</f>
        <v>1990.4</v>
      </c>
      <c r="M190" s="26"/>
      <c r="N190" s="26"/>
      <c r="O190" s="37">
        <f>SUM(O183:O189)</f>
        <v>-40.399999999999977</v>
      </c>
      <c r="P190" s="184"/>
    </row>
    <row r="191" spans="1:16" ht="36.75" customHeight="1" thickTop="1" thickBot="1" x14ac:dyDescent="0.35">
      <c r="A191" s="212" t="s">
        <v>114</v>
      </c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</row>
    <row r="192" spans="1:16" ht="36.75" customHeight="1" thickTop="1" thickBot="1" x14ac:dyDescent="0.35">
      <c r="A192" s="4" t="s">
        <v>48</v>
      </c>
      <c r="B192" s="4" t="s">
        <v>0</v>
      </c>
      <c r="C192" s="4" t="s">
        <v>1</v>
      </c>
      <c r="D192" s="5" t="s">
        <v>2</v>
      </c>
      <c r="E192" s="4" t="s">
        <v>3</v>
      </c>
      <c r="F192" s="4" t="s">
        <v>11</v>
      </c>
      <c r="G192" s="4" t="s">
        <v>4</v>
      </c>
      <c r="H192" s="4" t="s">
        <v>15</v>
      </c>
      <c r="I192" s="97" t="s">
        <v>16</v>
      </c>
      <c r="J192" s="97" t="s">
        <v>56</v>
      </c>
      <c r="K192" s="97" t="s">
        <v>12</v>
      </c>
      <c r="L192" s="97" t="s">
        <v>13</v>
      </c>
      <c r="M192" s="97" t="s">
        <v>101</v>
      </c>
      <c r="N192" s="97" t="s">
        <v>100</v>
      </c>
      <c r="O192" s="97" t="s">
        <v>102</v>
      </c>
      <c r="P192" s="97" t="s">
        <v>5</v>
      </c>
    </row>
    <row r="193" spans="1:17" ht="36.75" customHeight="1" thickTop="1" thickBot="1" x14ac:dyDescent="0.35">
      <c r="A193" s="7" t="str">
        <f t="shared" ref="A193:A220" si="15">A192</f>
        <v>تسليم</v>
      </c>
      <c r="B193" s="180">
        <v>45934</v>
      </c>
      <c r="C193" s="181" t="s">
        <v>97</v>
      </c>
      <c r="D193" s="182" t="s">
        <v>47</v>
      </c>
      <c r="E193" s="7" t="s">
        <v>51</v>
      </c>
      <c r="F193" s="6" t="s">
        <v>69</v>
      </c>
      <c r="G193" s="31">
        <f>G119+G100+G161</f>
        <v>1800</v>
      </c>
      <c r="H193" s="6" t="s">
        <v>18</v>
      </c>
      <c r="I193" s="6" t="s">
        <v>75</v>
      </c>
      <c r="J193" s="198">
        <f>(K193-(K193*I224))-L224</f>
        <v>-4551.0999999999985</v>
      </c>
      <c r="K193" s="183">
        <f>515.5+507.6+473.9+465.8+504+506.5+402+529+527.8+533.1+507.4+517.8+502.2+533.4+528.8+500.8+490.4+496.4+495.4+495.1+490.2+508.2+506+502.6+497+514+507.7+502.6+503.7+505+499.8+515.8+510.2+511.3+503.4+547.3+513.6+507.8+516.2+515.4+513.2+506.6+548.1+793.6</f>
        <v>22572.199999999997</v>
      </c>
      <c r="L193" s="21">
        <f>L100+L119+L161</f>
        <v>1883.1</v>
      </c>
      <c r="M193" s="21">
        <f>M100+M119+M161</f>
        <v>1883.1</v>
      </c>
      <c r="N193" s="21">
        <f t="shared" ref="N193:N224" si="16">L193-M193</f>
        <v>0</v>
      </c>
      <c r="O193" s="23">
        <f>(G193-(G193*I224))-L193</f>
        <v>-83.099999999999909</v>
      </c>
      <c r="P193" s="175" t="s">
        <v>57</v>
      </c>
    </row>
    <row r="194" spans="1:17" ht="36.75" customHeight="1" thickTop="1" thickBot="1" x14ac:dyDescent="0.35">
      <c r="A194" s="7" t="str">
        <f t="shared" si="15"/>
        <v>تسليم</v>
      </c>
      <c r="B194" s="180"/>
      <c r="C194" s="181"/>
      <c r="D194" s="182"/>
      <c r="E194" s="7" t="s">
        <v>95</v>
      </c>
      <c r="F194" s="6" t="s">
        <v>69</v>
      </c>
      <c r="G194" s="7">
        <f>G193*F223</f>
        <v>306</v>
      </c>
      <c r="H194" s="6"/>
      <c r="I194" s="6"/>
      <c r="J194" s="198"/>
      <c r="K194" s="183"/>
      <c r="L194" s="21">
        <f>L101+L120+L162</f>
        <v>331.4</v>
      </c>
      <c r="M194" s="21">
        <f>M101+M120+M162</f>
        <v>331.4</v>
      </c>
      <c r="N194" s="21">
        <f t="shared" si="16"/>
        <v>0</v>
      </c>
      <c r="O194" s="23">
        <f>(G194-(G194*I224))-L194</f>
        <v>-25.399999999999977</v>
      </c>
      <c r="P194" s="175"/>
    </row>
    <row r="195" spans="1:17" ht="36.75" customHeight="1" thickTop="1" thickBot="1" x14ac:dyDescent="0.35">
      <c r="A195" s="7" t="str">
        <f t="shared" si="15"/>
        <v>تسليم</v>
      </c>
      <c r="B195" s="180"/>
      <c r="C195" s="181"/>
      <c r="D195" s="182"/>
      <c r="E195" s="7" t="s">
        <v>51</v>
      </c>
      <c r="F195" s="6" t="s">
        <v>70</v>
      </c>
      <c r="G195" s="31">
        <f>G121+G102</f>
        <v>1500</v>
      </c>
      <c r="H195" s="6" t="s">
        <v>18</v>
      </c>
      <c r="I195" s="6" t="s">
        <v>75</v>
      </c>
      <c r="J195" s="198"/>
      <c r="K195" s="183"/>
      <c r="L195" s="21">
        <f>L102+L121</f>
        <v>1482.6</v>
      </c>
      <c r="M195" s="21">
        <f>M102+M121</f>
        <v>1437.6</v>
      </c>
      <c r="N195" s="21">
        <f t="shared" si="16"/>
        <v>45</v>
      </c>
      <c r="O195" s="23">
        <f>(G195-(G195*I224))-L195</f>
        <v>17.400000000000091</v>
      </c>
      <c r="P195" s="175"/>
    </row>
    <row r="196" spans="1:17" ht="36.75" customHeight="1" thickTop="1" thickBot="1" x14ac:dyDescent="0.35">
      <c r="A196" s="7" t="str">
        <f t="shared" si="15"/>
        <v>تسليم</v>
      </c>
      <c r="B196" s="180"/>
      <c r="C196" s="181"/>
      <c r="D196" s="182"/>
      <c r="E196" s="7" t="s">
        <v>95</v>
      </c>
      <c r="F196" s="6" t="s">
        <v>70</v>
      </c>
      <c r="G196" s="7">
        <f>G195*F223</f>
        <v>255.00000000000003</v>
      </c>
      <c r="H196" s="6"/>
      <c r="I196" s="6"/>
      <c r="J196" s="198"/>
      <c r="K196" s="183"/>
      <c r="L196" s="21">
        <f>L103+L122</f>
        <v>212.8</v>
      </c>
      <c r="M196" s="21">
        <f>M103+M122</f>
        <v>212.8</v>
      </c>
      <c r="N196" s="21">
        <f t="shared" si="16"/>
        <v>0</v>
      </c>
      <c r="O196" s="23">
        <f>(G196-(G196*I224))-L196</f>
        <v>42.200000000000017</v>
      </c>
      <c r="P196" s="175"/>
    </row>
    <row r="197" spans="1:17" ht="36.75" customHeight="1" thickTop="1" thickBot="1" x14ac:dyDescent="0.35">
      <c r="A197" s="7" t="str">
        <f t="shared" si="15"/>
        <v>تسليم</v>
      </c>
      <c r="B197" s="180"/>
      <c r="C197" s="181"/>
      <c r="D197" s="182"/>
      <c r="E197" s="7" t="s">
        <v>51</v>
      </c>
      <c r="F197" s="6" t="s">
        <v>20</v>
      </c>
      <c r="G197" s="31">
        <f>G123+G104+G152+G169+G185</f>
        <v>2900</v>
      </c>
      <c r="H197" s="6" t="s">
        <v>18</v>
      </c>
      <c r="I197" s="6" t="s">
        <v>75</v>
      </c>
      <c r="J197" s="198"/>
      <c r="K197" s="183"/>
      <c r="L197" s="21">
        <f>L104+L123+L185+L169</f>
        <v>2342.6999999999998</v>
      </c>
      <c r="M197" s="21">
        <f>M104+M123+M185+M169</f>
        <v>2342.6999999999998</v>
      </c>
      <c r="N197" s="21">
        <f t="shared" si="16"/>
        <v>0</v>
      </c>
      <c r="O197" s="23">
        <f>(G197-(G197*I224))-L197</f>
        <v>557.30000000000018</v>
      </c>
      <c r="P197" s="175"/>
    </row>
    <row r="198" spans="1:17" ht="36.75" customHeight="1" thickTop="1" thickBot="1" x14ac:dyDescent="0.35">
      <c r="A198" s="7" t="str">
        <f t="shared" si="15"/>
        <v>تسليم</v>
      </c>
      <c r="B198" s="180"/>
      <c r="C198" s="181"/>
      <c r="D198" s="182"/>
      <c r="E198" s="7" t="s">
        <v>95</v>
      </c>
      <c r="F198" s="6" t="s">
        <v>20</v>
      </c>
      <c r="G198" s="7">
        <f>G197*F223</f>
        <v>493.00000000000006</v>
      </c>
      <c r="H198" s="6"/>
      <c r="I198" s="6"/>
      <c r="J198" s="198"/>
      <c r="K198" s="183"/>
      <c r="L198" s="21">
        <f>L105+L124+L186+L170</f>
        <v>407.4</v>
      </c>
      <c r="M198" s="21">
        <f>M105+M124+M186+M170</f>
        <v>407.4</v>
      </c>
      <c r="N198" s="21">
        <f t="shared" si="16"/>
        <v>0</v>
      </c>
      <c r="O198" s="23">
        <f>(G198-(G198*I224))-L198</f>
        <v>85.60000000000008</v>
      </c>
      <c r="P198" s="175"/>
    </row>
    <row r="199" spans="1:17" ht="36.75" customHeight="1" thickTop="1" thickBot="1" x14ac:dyDescent="0.35">
      <c r="A199" s="7" t="str">
        <f t="shared" si="15"/>
        <v>تسليم</v>
      </c>
      <c r="B199" s="180"/>
      <c r="C199" s="181"/>
      <c r="D199" s="182"/>
      <c r="E199" s="7" t="s">
        <v>51</v>
      </c>
      <c r="F199" s="6" t="s">
        <v>71</v>
      </c>
      <c r="G199" s="31">
        <f>G106</f>
        <v>1000</v>
      </c>
      <c r="H199" s="6" t="s">
        <v>18</v>
      </c>
      <c r="I199" s="6" t="s">
        <v>75</v>
      </c>
      <c r="J199" s="198"/>
      <c r="K199" s="183"/>
      <c r="L199" s="21">
        <f>L106</f>
        <v>1028.2</v>
      </c>
      <c r="M199" s="21">
        <f>M106</f>
        <v>1028.2</v>
      </c>
      <c r="N199" s="21">
        <f t="shared" si="16"/>
        <v>0</v>
      </c>
      <c r="O199" s="23">
        <f>(G199-(G199*I224))-L199</f>
        <v>-28.200000000000045</v>
      </c>
      <c r="P199" s="175"/>
    </row>
    <row r="200" spans="1:17" ht="36.75" customHeight="1" thickTop="1" thickBot="1" x14ac:dyDescent="0.35">
      <c r="A200" s="7" t="str">
        <f t="shared" si="15"/>
        <v>تسليم</v>
      </c>
      <c r="B200" s="180"/>
      <c r="C200" s="181"/>
      <c r="D200" s="182"/>
      <c r="E200" s="7" t="s">
        <v>95</v>
      </c>
      <c r="F200" s="6" t="s">
        <v>71</v>
      </c>
      <c r="G200" s="7">
        <f>G199*F223</f>
        <v>170</v>
      </c>
      <c r="H200" s="6"/>
      <c r="I200" s="6"/>
      <c r="J200" s="198"/>
      <c r="K200" s="183"/>
      <c r="L200" s="21">
        <f>L107</f>
        <v>172.4</v>
      </c>
      <c r="M200" s="21">
        <f>M107</f>
        <v>172.4</v>
      </c>
      <c r="N200" s="21">
        <f t="shared" si="16"/>
        <v>0</v>
      </c>
      <c r="O200" s="23">
        <f>(G200-(G200*I224))-L200</f>
        <v>-2.4000000000000057</v>
      </c>
      <c r="P200" s="175"/>
    </row>
    <row r="201" spans="1:17" ht="36.75" customHeight="1" thickTop="1" thickBot="1" x14ac:dyDescent="0.35">
      <c r="A201" s="7" t="str">
        <f t="shared" si="15"/>
        <v>تسليم</v>
      </c>
      <c r="B201" s="180"/>
      <c r="C201" s="181"/>
      <c r="D201" s="182"/>
      <c r="E201" s="7" t="s">
        <v>51</v>
      </c>
      <c r="F201" s="6" t="s">
        <v>72</v>
      </c>
      <c r="G201" s="31">
        <f>G125+G108</f>
        <v>1500</v>
      </c>
      <c r="H201" s="6" t="s">
        <v>18</v>
      </c>
      <c r="I201" s="6" t="s">
        <v>75</v>
      </c>
      <c r="J201" s="198"/>
      <c r="K201" s="183"/>
      <c r="L201" s="21">
        <f>L108+L125</f>
        <v>1073</v>
      </c>
      <c r="M201" s="21">
        <f>M108+M125</f>
        <v>1073</v>
      </c>
      <c r="N201" s="21">
        <f t="shared" si="16"/>
        <v>0</v>
      </c>
      <c r="O201" s="23">
        <f>(G201-(G201*I224))-L201</f>
        <v>427</v>
      </c>
      <c r="P201" s="175"/>
      <c r="Q201" s="1">
        <f>3623.5+2009+1492.8+1493.5+3492.7+307.2+1010.3+1508.5+5660.8+793.6+548.8+765+311+843.3+407</f>
        <v>24266.999999999996</v>
      </c>
    </row>
    <row r="202" spans="1:17" ht="36.75" customHeight="1" thickTop="1" thickBot="1" x14ac:dyDescent="0.35">
      <c r="A202" s="7" t="str">
        <f t="shared" si="15"/>
        <v>تسليم</v>
      </c>
      <c r="B202" s="180"/>
      <c r="C202" s="181"/>
      <c r="D202" s="182"/>
      <c r="E202" s="7" t="s">
        <v>95</v>
      </c>
      <c r="F202" s="6" t="s">
        <v>72</v>
      </c>
      <c r="G202" s="7">
        <f>G201*F223</f>
        <v>255.00000000000003</v>
      </c>
      <c r="H202" s="6"/>
      <c r="I202" s="6"/>
      <c r="J202" s="198"/>
      <c r="K202" s="183"/>
      <c r="L202" s="21">
        <f>L109+L126</f>
        <v>194.9</v>
      </c>
      <c r="M202" s="21">
        <f>M109+M126</f>
        <v>194.9</v>
      </c>
      <c r="N202" s="21">
        <f t="shared" si="16"/>
        <v>0</v>
      </c>
      <c r="O202" s="23">
        <f>(G202-(G202*I224))-L202</f>
        <v>60.100000000000023</v>
      </c>
      <c r="P202" s="175"/>
      <c r="Q202" s="1">
        <f>699.9+704+413.4+415.8+514.5+129.3+242.4+210.2</f>
        <v>3329.5000000000005</v>
      </c>
    </row>
    <row r="203" spans="1:17" ht="36.75" customHeight="1" thickTop="1" thickBot="1" x14ac:dyDescent="0.35">
      <c r="A203" s="7" t="str">
        <f t="shared" si="15"/>
        <v>تسليم</v>
      </c>
      <c r="B203" s="180"/>
      <c r="C203" s="181"/>
      <c r="D203" s="182"/>
      <c r="E203" s="7" t="s">
        <v>51</v>
      </c>
      <c r="F203" s="6" t="s">
        <v>73</v>
      </c>
      <c r="G203" s="31">
        <f>G110+G127+G150</f>
        <v>2100</v>
      </c>
      <c r="H203" s="6" t="s">
        <v>18</v>
      </c>
      <c r="I203" s="6" t="s">
        <v>75</v>
      </c>
      <c r="J203" s="198"/>
      <c r="K203" s="183"/>
      <c r="L203" s="21">
        <f>L110+L127+L150</f>
        <v>2272.9</v>
      </c>
      <c r="M203" s="21">
        <f>M110+M127+M150</f>
        <v>2272.9</v>
      </c>
      <c r="N203" s="21">
        <f t="shared" si="16"/>
        <v>0</v>
      </c>
      <c r="O203" s="23">
        <f>(G203-(G203*I224))-L203</f>
        <v>-172.90000000000009</v>
      </c>
      <c r="P203" s="175"/>
    </row>
    <row r="204" spans="1:17" ht="36.75" customHeight="1" thickTop="1" thickBot="1" x14ac:dyDescent="0.35">
      <c r="A204" s="7" t="str">
        <f t="shared" si="15"/>
        <v>تسليم</v>
      </c>
      <c r="B204" s="180"/>
      <c r="C204" s="181"/>
      <c r="D204" s="182"/>
      <c r="E204" s="7" t="s">
        <v>95</v>
      </c>
      <c r="F204" s="6" t="s">
        <v>73</v>
      </c>
      <c r="G204" s="7">
        <f>G203*F223</f>
        <v>357</v>
      </c>
      <c r="H204" s="6"/>
      <c r="I204" s="6"/>
      <c r="J204" s="198"/>
      <c r="K204" s="183"/>
      <c r="L204" s="21">
        <f>L111+L128+L151</f>
        <v>349.6</v>
      </c>
      <c r="M204" s="21">
        <f>M111+M128+M151</f>
        <v>349.6</v>
      </c>
      <c r="N204" s="21">
        <f t="shared" si="16"/>
        <v>0</v>
      </c>
      <c r="O204" s="23">
        <f>(G204-(G204*I224))-L204</f>
        <v>7.3999999999999773</v>
      </c>
      <c r="P204" s="175"/>
    </row>
    <row r="205" spans="1:17" ht="36.75" customHeight="1" thickTop="1" thickBot="1" x14ac:dyDescent="0.35">
      <c r="A205" s="7" t="str">
        <f t="shared" si="15"/>
        <v>تسليم</v>
      </c>
      <c r="B205" s="180"/>
      <c r="C205" s="181"/>
      <c r="D205" s="182"/>
      <c r="E205" s="7" t="s">
        <v>51</v>
      </c>
      <c r="F205" s="6" t="s">
        <v>74</v>
      </c>
      <c r="G205" s="31">
        <f>G129+G112</f>
        <v>1500</v>
      </c>
      <c r="H205" s="6" t="s">
        <v>18</v>
      </c>
      <c r="I205" s="6" t="s">
        <v>75</v>
      </c>
      <c r="J205" s="198"/>
      <c r="K205" s="183"/>
      <c r="L205" s="21">
        <f>L112+L129</f>
        <v>1465</v>
      </c>
      <c r="M205" s="21">
        <f>M112+M129</f>
        <v>1465</v>
      </c>
      <c r="N205" s="21">
        <f t="shared" si="16"/>
        <v>0</v>
      </c>
      <c r="O205" s="23">
        <f>(G205-(G205*I224))-L205</f>
        <v>35</v>
      </c>
      <c r="P205" s="175"/>
    </row>
    <row r="206" spans="1:17" ht="36.75" customHeight="1" thickTop="1" thickBot="1" x14ac:dyDescent="0.35">
      <c r="A206" s="7" t="str">
        <f t="shared" si="15"/>
        <v>تسليم</v>
      </c>
      <c r="B206" s="180"/>
      <c r="C206" s="181"/>
      <c r="D206" s="182"/>
      <c r="E206" s="7" t="s">
        <v>95</v>
      </c>
      <c r="F206" s="6" t="s">
        <v>74</v>
      </c>
      <c r="G206" s="7">
        <f>G205*F223</f>
        <v>255.00000000000003</v>
      </c>
      <c r="H206" s="6"/>
      <c r="I206" s="6"/>
      <c r="J206" s="198"/>
      <c r="K206" s="183"/>
      <c r="L206" s="21">
        <f>L113+L130</f>
        <v>251</v>
      </c>
      <c r="M206" s="21">
        <f>M113+M130</f>
        <v>251</v>
      </c>
      <c r="N206" s="21">
        <f t="shared" si="16"/>
        <v>0</v>
      </c>
      <c r="O206" s="23">
        <f>(G206-(G206*I224))-L206</f>
        <v>4.0000000000000284</v>
      </c>
      <c r="P206" s="175"/>
    </row>
    <row r="207" spans="1:17" ht="36.75" customHeight="1" thickTop="1" thickBot="1" x14ac:dyDescent="0.35">
      <c r="A207" s="7" t="str">
        <f t="shared" si="15"/>
        <v>تسليم</v>
      </c>
      <c r="B207" s="180"/>
      <c r="C207" s="181"/>
      <c r="D207" s="182"/>
      <c r="E207" s="7" t="s">
        <v>51</v>
      </c>
      <c r="F207" s="6" t="s">
        <v>99</v>
      </c>
      <c r="G207" s="31">
        <f>G57+G167</f>
        <v>600</v>
      </c>
      <c r="H207" s="6" t="s">
        <v>18</v>
      </c>
      <c r="I207" s="6" t="s">
        <v>75</v>
      </c>
      <c r="J207" s="198"/>
      <c r="K207" s="183"/>
      <c r="L207" s="21">
        <f>L57+L167</f>
        <v>745.2</v>
      </c>
      <c r="M207" s="21">
        <f>M57+M167</f>
        <v>745.2</v>
      </c>
      <c r="N207" s="21">
        <f t="shared" si="16"/>
        <v>0</v>
      </c>
      <c r="O207" s="23">
        <f>(G207-(G207*I224))-L207</f>
        <v>-145.20000000000005</v>
      </c>
      <c r="P207" s="175"/>
    </row>
    <row r="208" spans="1:17" ht="36.75" customHeight="1" thickTop="1" thickBot="1" x14ac:dyDescent="0.35">
      <c r="A208" s="7" t="str">
        <f t="shared" si="15"/>
        <v>تسليم</v>
      </c>
      <c r="B208" s="180"/>
      <c r="C208" s="181"/>
      <c r="D208" s="182"/>
      <c r="E208" s="7" t="s">
        <v>95</v>
      </c>
      <c r="F208" s="6" t="s">
        <v>99</v>
      </c>
      <c r="G208" s="7">
        <f>G207*F223</f>
        <v>102.00000000000001</v>
      </c>
      <c r="H208" s="6"/>
      <c r="I208" s="6"/>
      <c r="J208" s="198"/>
      <c r="K208" s="183"/>
      <c r="L208" s="21">
        <f>L58+L168</f>
        <v>130.80000000000001</v>
      </c>
      <c r="M208" s="21">
        <f>M58+M168</f>
        <v>130.6</v>
      </c>
      <c r="N208" s="21">
        <f t="shared" si="16"/>
        <v>0.20000000000001705</v>
      </c>
      <c r="O208" s="23">
        <f>(G208-(G208*I224))-L208</f>
        <v>-28.799999999999997</v>
      </c>
      <c r="P208" s="175"/>
    </row>
    <row r="209" spans="1:16" ht="36.75" customHeight="1" thickTop="1" thickBot="1" x14ac:dyDescent="0.35">
      <c r="A209" s="7" t="str">
        <f t="shared" si="15"/>
        <v>تسليم</v>
      </c>
      <c r="B209" s="180"/>
      <c r="C209" s="181"/>
      <c r="D209" s="182"/>
      <c r="E209" s="7" t="s">
        <v>51</v>
      </c>
      <c r="F209" s="6" t="s">
        <v>52</v>
      </c>
      <c r="G209" s="31">
        <f>G51</f>
        <v>300</v>
      </c>
      <c r="H209" s="6" t="s">
        <v>18</v>
      </c>
      <c r="I209" s="6" t="s">
        <v>75</v>
      </c>
      <c r="J209" s="198"/>
      <c r="K209" s="183"/>
      <c r="L209" s="21">
        <f>L51</f>
        <v>294</v>
      </c>
      <c r="M209" s="21">
        <f>M51</f>
        <v>294</v>
      </c>
      <c r="N209" s="21">
        <f t="shared" si="16"/>
        <v>0</v>
      </c>
      <c r="O209" s="23">
        <f>(G209-(G209*I224))-L209</f>
        <v>6</v>
      </c>
      <c r="P209" s="175"/>
    </row>
    <row r="210" spans="1:16" ht="36.75" customHeight="1" thickTop="1" thickBot="1" x14ac:dyDescent="0.35">
      <c r="A210" s="7" t="str">
        <f t="shared" si="15"/>
        <v>تسليم</v>
      </c>
      <c r="B210" s="180"/>
      <c r="C210" s="181"/>
      <c r="D210" s="182"/>
      <c r="E210" s="7" t="s">
        <v>95</v>
      </c>
      <c r="F210" s="6" t="s">
        <v>52</v>
      </c>
      <c r="G210" s="7">
        <f>G209*F223</f>
        <v>51.000000000000007</v>
      </c>
      <c r="H210" s="6"/>
      <c r="I210" s="6"/>
      <c r="J210" s="198"/>
      <c r="K210" s="183"/>
      <c r="L210" s="21">
        <f>L52</f>
        <v>41</v>
      </c>
      <c r="M210" s="21">
        <f>M52</f>
        <v>41</v>
      </c>
      <c r="N210" s="21">
        <f t="shared" si="16"/>
        <v>0</v>
      </c>
      <c r="O210" s="23">
        <f>(G210-(G210*I224))-L210</f>
        <v>10.000000000000007</v>
      </c>
      <c r="P210" s="175"/>
    </row>
    <row r="211" spans="1:16" ht="36.75" customHeight="1" thickTop="1" thickBot="1" x14ac:dyDescent="0.35">
      <c r="A211" s="7" t="str">
        <f t="shared" si="15"/>
        <v>تسليم</v>
      </c>
      <c r="B211" s="180"/>
      <c r="C211" s="181"/>
      <c r="D211" s="182"/>
      <c r="E211" s="7" t="s">
        <v>51</v>
      </c>
      <c r="F211" s="6" t="s">
        <v>53</v>
      </c>
      <c r="G211" s="31">
        <f>G53+G178+G165</f>
        <v>850</v>
      </c>
      <c r="H211" s="6" t="s">
        <v>18</v>
      </c>
      <c r="I211" s="6" t="s">
        <v>75</v>
      </c>
      <c r="J211" s="198"/>
      <c r="K211" s="183"/>
      <c r="L211" s="21">
        <f>L53+L165+L178</f>
        <v>909.5</v>
      </c>
      <c r="M211" s="21">
        <f>M53+M165+M178</f>
        <v>909.5</v>
      </c>
      <c r="N211" s="21">
        <f t="shared" si="16"/>
        <v>0</v>
      </c>
      <c r="O211" s="23">
        <f>(G211-(G211*I224))-L211</f>
        <v>-59.5</v>
      </c>
      <c r="P211" s="175"/>
    </row>
    <row r="212" spans="1:16" ht="36.75" customHeight="1" thickTop="1" thickBot="1" x14ac:dyDescent="0.35">
      <c r="A212" s="7" t="str">
        <f t="shared" si="15"/>
        <v>تسليم</v>
      </c>
      <c r="B212" s="180"/>
      <c r="C212" s="181"/>
      <c r="D212" s="182"/>
      <c r="E212" s="7" t="s">
        <v>95</v>
      </c>
      <c r="F212" s="6" t="s">
        <v>53</v>
      </c>
      <c r="G212" s="7">
        <f>G211*F223</f>
        <v>144.5</v>
      </c>
      <c r="H212" s="6"/>
      <c r="I212" s="6"/>
      <c r="J212" s="198"/>
      <c r="K212" s="183"/>
      <c r="L212" s="21">
        <f>L54+L166+L179</f>
        <v>148.30000000000001</v>
      </c>
      <c r="M212" s="21">
        <f>M54+M166+M179</f>
        <v>148.30000000000001</v>
      </c>
      <c r="N212" s="21">
        <f t="shared" si="16"/>
        <v>0</v>
      </c>
      <c r="O212" s="23">
        <f>(G212-(G212*I224))-L212</f>
        <v>-3.8000000000000114</v>
      </c>
      <c r="P212" s="175"/>
    </row>
    <row r="213" spans="1:16" ht="36.75" customHeight="1" thickTop="1" thickBot="1" x14ac:dyDescent="0.35">
      <c r="A213" s="7" t="str">
        <f t="shared" si="15"/>
        <v>تسليم</v>
      </c>
      <c r="B213" s="180"/>
      <c r="C213" s="181"/>
      <c r="D213" s="182"/>
      <c r="E213" s="7" t="s">
        <v>51</v>
      </c>
      <c r="F213" s="6" t="s">
        <v>54</v>
      </c>
      <c r="G213" s="31">
        <f>G55</f>
        <v>300</v>
      </c>
      <c r="H213" s="6" t="s">
        <v>18</v>
      </c>
      <c r="I213" s="6" t="s">
        <v>75</v>
      </c>
      <c r="J213" s="198"/>
      <c r="K213" s="183"/>
      <c r="L213" s="21">
        <f>L56</f>
        <v>49.1</v>
      </c>
      <c r="M213" s="21">
        <f>M56</f>
        <v>49.1</v>
      </c>
      <c r="N213" s="21">
        <f t="shared" si="16"/>
        <v>0</v>
      </c>
      <c r="O213" s="23">
        <f>(G213-(G213*I224))-L213</f>
        <v>250.9</v>
      </c>
      <c r="P213" s="175"/>
    </row>
    <row r="214" spans="1:16" ht="36.75" customHeight="1" thickTop="1" thickBot="1" x14ac:dyDescent="0.35">
      <c r="A214" s="7" t="str">
        <f t="shared" si="15"/>
        <v>تسليم</v>
      </c>
      <c r="B214" s="180"/>
      <c r="C214" s="181"/>
      <c r="D214" s="182"/>
      <c r="E214" s="7" t="s">
        <v>95</v>
      </c>
      <c r="F214" s="6" t="s">
        <v>54</v>
      </c>
      <c r="G214" s="7">
        <f>G213*F223</f>
        <v>51.000000000000007</v>
      </c>
      <c r="H214" s="6"/>
      <c r="I214" s="6"/>
      <c r="J214" s="198"/>
      <c r="K214" s="183"/>
      <c r="L214" s="21">
        <f>L57</f>
        <v>424</v>
      </c>
      <c r="M214" s="21">
        <f>M57</f>
        <v>424</v>
      </c>
      <c r="N214" s="21">
        <f t="shared" si="16"/>
        <v>0</v>
      </c>
      <c r="O214" s="23">
        <f>(G214-(G214*I224))-L214</f>
        <v>-373</v>
      </c>
      <c r="P214" s="175"/>
    </row>
    <row r="215" spans="1:16" ht="36.75" customHeight="1" thickTop="1" thickBot="1" x14ac:dyDescent="0.35">
      <c r="A215" s="7" t="str">
        <f t="shared" si="15"/>
        <v>تسليم</v>
      </c>
      <c r="B215" s="180"/>
      <c r="C215" s="181"/>
      <c r="D215" s="182"/>
      <c r="E215" s="7" t="s">
        <v>51</v>
      </c>
      <c r="F215" s="6" t="s">
        <v>50</v>
      </c>
      <c r="G215" s="31">
        <f>G49+G154+G176</f>
        <v>1300</v>
      </c>
      <c r="H215" s="6" t="s">
        <v>18</v>
      </c>
      <c r="I215" s="6" t="s">
        <v>75</v>
      </c>
      <c r="J215" s="198"/>
      <c r="K215" s="183"/>
      <c r="L215" s="21">
        <f>L49+L154+L176</f>
        <v>1329.4</v>
      </c>
      <c r="M215" s="21">
        <f>M49+M154+M176</f>
        <v>1329.4</v>
      </c>
      <c r="N215" s="21">
        <f t="shared" si="16"/>
        <v>0</v>
      </c>
      <c r="O215" s="23">
        <f>(G215-(G215*I224))-L215</f>
        <v>-29.400000000000091</v>
      </c>
      <c r="P215" s="175"/>
    </row>
    <row r="216" spans="1:16" ht="36.75" customHeight="1" thickTop="1" thickBot="1" x14ac:dyDescent="0.35">
      <c r="A216" s="7" t="str">
        <f t="shared" si="15"/>
        <v>تسليم</v>
      </c>
      <c r="B216" s="180"/>
      <c r="C216" s="181"/>
      <c r="D216" s="182"/>
      <c r="E216" s="7" t="s">
        <v>95</v>
      </c>
      <c r="F216" s="6" t="s">
        <v>50</v>
      </c>
      <c r="G216" s="7">
        <f>G215*F223</f>
        <v>221.00000000000003</v>
      </c>
      <c r="H216" s="6"/>
      <c r="I216" s="6"/>
      <c r="J216" s="198"/>
      <c r="K216" s="183"/>
      <c r="L216" s="21">
        <f>L50+L155+L177</f>
        <v>219.7</v>
      </c>
      <c r="M216" s="21">
        <f>M50+M155+M177</f>
        <v>272.7</v>
      </c>
      <c r="N216" s="21">
        <f t="shared" si="16"/>
        <v>-53</v>
      </c>
      <c r="O216" s="23">
        <f>(G216-(G216*I224))-L216</f>
        <v>1.3000000000000398</v>
      </c>
      <c r="P216" s="175"/>
    </row>
    <row r="217" spans="1:16" ht="36.75" customHeight="1" thickTop="1" thickBot="1" x14ac:dyDescent="0.35">
      <c r="A217" s="7" t="str">
        <f t="shared" si="15"/>
        <v>تسليم</v>
      </c>
      <c r="B217" s="180"/>
      <c r="C217" s="181"/>
      <c r="D217" s="182"/>
      <c r="E217" s="7" t="s">
        <v>51</v>
      </c>
      <c r="F217" s="6" t="s">
        <v>39</v>
      </c>
      <c r="G217" s="31">
        <f>G148+G159</f>
        <v>1500</v>
      </c>
      <c r="H217" s="6" t="s">
        <v>18</v>
      </c>
      <c r="I217" s="6" t="s">
        <v>75</v>
      </c>
      <c r="J217" s="198"/>
      <c r="K217" s="183"/>
      <c r="L217" s="21">
        <f>L148+L159</f>
        <v>1090.2</v>
      </c>
      <c r="M217" s="21">
        <f>M148+M159</f>
        <v>1090.2</v>
      </c>
      <c r="N217" s="21">
        <f t="shared" si="16"/>
        <v>0</v>
      </c>
      <c r="O217" s="23">
        <f>(G217-(G217*I224))-L217</f>
        <v>409.79999999999995</v>
      </c>
      <c r="P217" s="175"/>
    </row>
    <row r="218" spans="1:16" ht="36.75" customHeight="1" thickTop="1" thickBot="1" x14ac:dyDescent="0.35">
      <c r="A218" s="7" t="str">
        <f t="shared" si="15"/>
        <v>تسليم</v>
      </c>
      <c r="B218" s="180"/>
      <c r="C218" s="181"/>
      <c r="D218" s="182"/>
      <c r="E218" s="7" t="s">
        <v>95</v>
      </c>
      <c r="F218" s="6" t="s">
        <v>39</v>
      </c>
      <c r="G218" s="7">
        <f>G217*F223</f>
        <v>255.00000000000003</v>
      </c>
      <c r="H218" s="6"/>
      <c r="I218" s="6"/>
      <c r="J218" s="198"/>
      <c r="K218" s="183"/>
      <c r="L218" s="21">
        <f>L149+L160</f>
        <v>167.6</v>
      </c>
      <c r="M218" s="21">
        <f>M149+M160</f>
        <v>167.6</v>
      </c>
      <c r="N218" s="21">
        <f t="shared" si="16"/>
        <v>0</v>
      </c>
      <c r="O218" s="23">
        <f>(G218-(G218*I224))-L218</f>
        <v>87.400000000000034</v>
      </c>
      <c r="P218" s="175"/>
    </row>
    <row r="219" spans="1:16" ht="36.75" customHeight="1" thickTop="1" thickBot="1" x14ac:dyDescent="0.35">
      <c r="A219" s="7" t="str">
        <f t="shared" si="15"/>
        <v>تسليم</v>
      </c>
      <c r="B219" s="180"/>
      <c r="C219" s="181"/>
      <c r="D219" s="182"/>
      <c r="E219" s="7" t="s">
        <v>51</v>
      </c>
      <c r="F219" s="6" t="s">
        <v>17</v>
      </c>
      <c r="G219" s="31">
        <f>G131+G114+G47+G146+G163+G187</f>
        <v>8100</v>
      </c>
      <c r="H219" s="6" t="s">
        <v>18</v>
      </c>
      <c r="I219" s="6" t="s">
        <v>75</v>
      </c>
      <c r="J219" s="198"/>
      <c r="K219" s="183"/>
      <c r="L219" s="21">
        <f>L47+L114+L131+L146+L163+L187</f>
        <v>6243.9</v>
      </c>
      <c r="M219" s="21">
        <f>M47+M114+M131+M146+M163+M187</f>
        <v>6243.9</v>
      </c>
      <c r="N219" s="21">
        <f t="shared" si="16"/>
        <v>0</v>
      </c>
      <c r="O219" s="23">
        <f>(G219-(G219*I224))-L219</f>
        <v>1856.1000000000004</v>
      </c>
      <c r="P219" s="175"/>
    </row>
    <row r="220" spans="1:16" ht="36.75" customHeight="1" thickTop="1" thickBot="1" x14ac:dyDescent="0.35">
      <c r="A220" s="7" t="str">
        <f t="shared" si="15"/>
        <v>تسليم</v>
      </c>
      <c r="B220" s="180"/>
      <c r="C220" s="181"/>
      <c r="D220" s="182"/>
      <c r="E220" s="7" t="s">
        <v>95</v>
      </c>
      <c r="F220" s="6" t="s">
        <v>17</v>
      </c>
      <c r="G220" s="7">
        <f>G219*F223</f>
        <v>1377</v>
      </c>
      <c r="H220" s="6"/>
      <c r="I220" s="6"/>
      <c r="J220" s="198"/>
      <c r="K220" s="183"/>
      <c r="L220" s="21">
        <f>L48+L115+L132+L147+L164+L188</f>
        <v>949.09999999999991</v>
      </c>
      <c r="M220" s="21">
        <f>M48+M115+M132+M147+M164+M188</f>
        <v>949.09999999999991</v>
      </c>
      <c r="N220" s="21">
        <f t="shared" si="16"/>
        <v>0</v>
      </c>
      <c r="O220" s="23">
        <f>(G220-(G220*I224))-L220</f>
        <v>427.90000000000009</v>
      </c>
      <c r="P220" s="175"/>
    </row>
    <row r="221" spans="1:16" ht="36.75" customHeight="1" thickTop="1" thickBot="1" x14ac:dyDescent="0.35">
      <c r="A221" s="7" t="s">
        <v>48</v>
      </c>
      <c r="B221" s="180"/>
      <c r="C221" s="181"/>
      <c r="D221" s="182"/>
      <c r="E221" s="7" t="s">
        <v>51</v>
      </c>
      <c r="F221" s="6" t="s">
        <v>105</v>
      </c>
      <c r="G221" s="31">
        <f>G174+G183</f>
        <v>750</v>
      </c>
      <c r="H221" s="6" t="s">
        <v>18</v>
      </c>
      <c r="I221" s="6" t="s">
        <v>75</v>
      </c>
      <c r="J221" s="198"/>
      <c r="K221" s="183"/>
      <c r="L221" s="21">
        <f>L174+L183</f>
        <v>807.1</v>
      </c>
      <c r="M221" s="21">
        <f>M174+M183</f>
        <v>807.1</v>
      </c>
      <c r="N221" s="21">
        <f t="shared" si="16"/>
        <v>0</v>
      </c>
      <c r="O221" s="23">
        <f>(G221-(G221*I224))-L221</f>
        <v>-57.100000000000023</v>
      </c>
      <c r="P221" s="175"/>
    </row>
    <row r="222" spans="1:16" ht="36.75" customHeight="1" thickTop="1" thickBot="1" x14ac:dyDescent="0.35">
      <c r="A222" s="7" t="s">
        <v>48</v>
      </c>
      <c r="B222" s="180"/>
      <c r="C222" s="181"/>
      <c r="D222" s="182"/>
      <c r="E222" s="7" t="s">
        <v>95</v>
      </c>
      <c r="F222" s="6" t="s">
        <v>105</v>
      </c>
      <c r="G222" s="7">
        <f>G221*F223</f>
        <v>127.50000000000001</v>
      </c>
      <c r="H222" s="6"/>
      <c r="I222" s="6"/>
      <c r="J222" s="198"/>
      <c r="K222" s="183"/>
      <c r="L222" s="21">
        <f>L175+L184</f>
        <v>107.4</v>
      </c>
      <c r="M222" s="21">
        <f>M175+M184</f>
        <v>107.4</v>
      </c>
      <c r="N222" s="21">
        <f t="shared" si="16"/>
        <v>0</v>
      </c>
      <c r="O222" s="23">
        <f>(G222-(G222*I224))-L222</f>
        <v>20.100000000000009</v>
      </c>
      <c r="P222" s="175"/>
    </row>
    <row r="223" spans="1:16" ht="36.75" customHeight="1" thickTop="1" thickBot="1" x14ac:dyDescent="0.35">
      <c r="A223" s="7" t="str">
        <f>A220</f>
        <v>تسليم</v>
      </c>
      <c r="B223" s="180"/>
      <c r="C223" s="181"/>
      <c r="D223" s="182"/>
      <c r="E223" s="11" t="s">
        <v>95</v>
      </c>
      <c r="F223" s="15">
        <v>0.17</v>
      </c>
      <c r="G223" s="11">
        <f>G220+G218+G216+G214+G210+G208+G206+G204+G202+G200+G198+G196+G194</f>
        <v>4148</v>
      </c>
      <c r="H223" s="12" t="s">
        <v>103</v>
      </c>
      <c r="I223" s="12">
        <f>G224</f>
        <v>25700</v>
      </c>
      <c r="J223" s="13">
        <f>(K223-(K223*I224))-L223</f>
        <v>2324.9000000000005</v>
      </c>
      <c r="K223" s="12">
        <f>704+413.4+415.8+120.8+122.3+242.4+783.2+129.3+353</f>
        <v>3284.2000000000003</v>
      </c>
      <c r="L223" s="12">
        <f>113.95+105.2+61.9+82.5+89.65+82.8+82.8+109.1+117+114.4</f>
        <v>959.3</v>
      </c>
      <c r="M223" s="12"/>
      <c r="N223" s="12">
        <f t="shared" si="16"/>
        <v>959.3</v>
      </c>
      <c r="O223" s="14">
        <f>(G223-(G223*I224))-L223</f>
        <v>3188.7</v>
      </c>
      <c r="P223" s="175"/>
    </row>
    <row r="224" spans="1:16" ht="36.75" customHeight="1" thickTop="1" thickBot="1" x14ac:dyDescent="0.35">
      <c r="A224" s="7" t="str">
        <f>A223</f>
        <v>تسليم</v>
      </c>
      <c r="B224" s="179" t="s">
        <v>29</v>
      </c>
      <c r="C224" s="179"/>
      <c r="D224" s="179"/>
      <c r="E224" s="179"/>
      <c r="F224" s="179"/>
      <c r="G224" s="6">
        <f>G193+G195+G197+G199+G201+G203+G205+G207+G211++G213+G215+G217+G219+G221</f>
        <v>25700</v>
      </c>
      <c r="H224" s="2" t="s">
        <v>30</v>
      </c>
      <c r="I224" s="3">
        <v>0</v>
      </c>
      <c r="J224" s="25"/>
      <c r="K224" s="29"/>
      <c r="L224" s="21">
        <f>SUM(L193:L222)</f>
        <v>27123.299999999996</v>
      </c>
      <c r="M224" s="21">
        <f>SUBTOTAL(9,M193:M222)</f>
        <v>27131.1</v>
      </c>
      <c r="N224" s="21">
        <f t="shared" si="16"/>
        <v>-7.8000000000029104</v>
      </c>
      <c r="O224" s="23">
        <f>SUM(O193:O220)</f>
        <v>3333.7000000000007</v>
      </c>
      <c r="P224" s="175"/>
    </row>
    <row r="225" spans="1:16" ht="36.75" customHeight="1" thickTop="1" thickBot="1" x14ac:dyDescent="0.35">
      <c r="A225" s="88" t="s">
        <v>48</v>
      </c>
      <c r="B225" s="88" t="s">
        <v>0</v>
      </c>
      <c r="C225" s="88" t="s">
        <v>1</v>
      </c>
      <c r="D225" s="89" t="s">
        <v>2</v>
      </c>
      <c r="E225" s="88" t="s">
        <v>3</v>
      </c>
      <c r="F225" s="88" t="s">
        <v>11</v>
      </c>
      <c r="G225" s="88" t="s">
        <v>4</v>
      </c>
      <c r="H225" s="88" t="s">
        <v>15</v>
      </c>
      <c r="I225" s="88" t="s">
        <v>16</v>
      </c>
      <c r="J225" s="88" t="s">
        <v>56</v>
      </c>
      <c r="K225" s="88" t="s">
        <v>12</v>
      </c>
      <c r="L225" s="88" t="s">
        <v>13</v>
      </c>
      <c r="M225" s="88" t="s">
        <v>101</v>
      </c>
      <c r="N225" s="88" t="s">
        <v>100</v>
      </c>
      <c r="O225" s="88" t="s">
        <v>102</v>
      </c>
      <c r="P225" s="88" t="s">
        <v>5</v>
      </c>
    </row>
    <row r="226" spans="1:16" ht="36.75" customHeight="1" thickTop="1" thickBot="1" x14ac:dyDescent="0.35">
      <c r="A226" s="7" t="str">
        <f t="shared" ref="A226:A236" si="17">A225</f>
        <v>تسليم</v>
      </c>
      <c r="B226" s="180">
        <v>45993</v>
      </c>
      <c r="C226" s="181" t="s">
        <v>8</v>
      </c>
      <c r="D226" s="182" t="s">
        <v>7</v>
      </c>
      <c r="E226" s="7" t="s">
        <v>115</v>
      </c>
      <c r="F226" s="6" t="s">
        <v>116</v>
      </c>
      <c r="G226" s="31">
        <v>1500</v>
      </c>
      <c r="H226" s="6" t="s">
        <v>18</v>
      </c>
      <c r="I226" s="6" t="s">
        <v>75</v>
      </c>
      <c r="J226" s="198">
        <f>(K226-(K226*I237))-L237</f>
        <v>-317.09999999999854</v>
      </c>
      <c r="K226" s="183">
        <f>21000</f>
        <v>21000</v>
      </c>
      <c r="L226" s="21">
        <f>443.2+410.2+482.85+872.9</f>
        <v>2209.15</v>
      </c>
      <c r="M226" s="21">
        <f>443.2+410.2+482.85+872.9</f>
        <v>2209.15</v>
      </c>
      <c r="N226" s="21">
        <f t="shared" ref="N226:N237" si="18">L226-M226</f>
        <v>0</v>
      </c>
      <c r="O226" s="23">
        <f>(G226-(G226*I237))-L226</f>
        <v>-874.15000000000009</v>
      </c>
      <c r="P226" s="175" t="s">
        <v>57</v>
      </c>
    </row>
    <row r="227" spans="1:16" ht="36.75" customHeight="1" thickTop="1" thickBot="1" x14ac:dyDescent="0.35">
      <c r="A227" s="7" t="str">
        <f t="shared" si="17"/>
        <v>تسليم</v>
      </c>
      <c r="B227" s="180"/>
      <c r="C227" s="181"/>
      <c r="D227" s="182"/>
      <c r="E227" s="7" t="s">
        <v>115</v>
      </c>
      <c r="F227" s="6" t="s">
        <v>117</v>
      </c>
      <c r="G227" s="31">
        <v>3000</v>
      </c>
      <c r="H227" s="6"/>
      <c r="I227" s="6"/>
      <c r="J227" s="198"/>
      <c r="K227" s="183"/>
      <c r="L227" s="21">
        <f>400.5+448.1+879.55+110.1+1482.7+320.8+191.4+221.45+395.15+508.85</f>
        <v>4958.6000000000004</v>
      </c>
      <c r="M227" s="21">
        <f>427+879.55+110.1+1482.7+320.8+191.4+221.45+395.15+400.5+508.85</f>
        <v>4937.5</v>
      </c>
      <c r="N227" s="21">
        <f t="shared" si="18"/>
        <v>21.100000000000364</v>
      </c>
      <c r="O227" s="23">
        <f>(G227-(G227*I237))-L227</f>
        <v>-2288.6000000000004</v>
      </c>
      <c r="P227" s="175"/>
    </row>
    <row r="228" spans="1:16" ht="36.75" customHeight="1" thickTop="1" thickBot="1" x14ac:dyDescent="0.35">
      <c r="A228" s="7" t="str">
        <f t="shared" si="17"/>
        <v>تسليم</v>
      </c>
      <c r="B228" s="180"/>
      <c r="C228" s="181"/>
      <c r="D228" s="182"/>
      <c r="E228" s="7" t="s">
        <v>115</v>
      </c>
      <c r="F228" s="6" t="s">
        <v>24</v>
      </c>
      <c r="G228" s="31">
        <v>1500</v>
      </c>
      <c r="H228" s="6" t="s">
        <v>18</v>
      </c>
      <c r="I228" s="6" t="s">
        <v>75</v>
      </c>
      <c r="J228" s="198"/>
      <c r="K228" s="183"/>
      <c r="L228" s="21">
        <f>439.5+488.9+428.4</f>
        <v>1356.8</v>
      </c>
      <c r="M228" s="21">
        <f>439.5+488.9+428.4</f>
        <v>1356.8</v>
      </c>
      <c r="N228" s="21">
        <f t="shared" si="18"/>
        <v>0</v>
      </c>
      <c r="O228" s="23">
        <f>(G228-(G228*I237))-L228</f>
        <v>-21.799999999999955</v>
      </c>
      <c r="P228" s="175"/>
    </row>
    <row r="229" spans="1:16" ht="36.75" customHeight="1" thickTop="1" thickBot="1" x14ac:dyDescent="0.35">
      <c r="A229" s="7" t="str">
        <f t="shared" si="17"/>
        <v>تسليم</v>
      </c>
      <c r="B229" s="180"/>
      <c r="C229" s="181"/>
      <c r="D229" s="182"/>
      <c r="E229" s="7" t="s">
        <v>115</v>
      </c>
      <c r="F229" s="6" t="s">
        <v>118</v>
      </c>
      <c r="G229" s="31">
        <v>1500</v>
      </c>
      <c r="H229" s="6"/>
      <c r="I229" s="6"/>
      <c r="J229" s="198"/>
      <c r="K229" s="183"/>
      <c r="L229" s="21">
        <f>24.5+ 654.4+478.6+478.3</f>
        <v>1635.8</v>
      </c>
      <c r="M229" s="21">
        <f>24.05+654.4+478.6+478.3</f>
        <v>1635.35</v>
      </c>
      <c r="N229" s="21">
        <f t="shared" si="18"/>
        <v>0.45000000000004547</v>
      </c>
      <c r="O229" s="23">
        <f>(G229-(G229*I237))-L229</f>
        <v>-300.79999999999995</v>
      </c>
      <c r="P229" s="175"/>
    </row>
    <row r="230" spans="1:16" ht="36.75" customHeight="1" thickTop="1" thickBot="1" x14ac:dyDescent="0.35">
      <c r="A230" s="7" t="str">
        <f t="shared" si="17"/>
        <v>تسليم</v>
      </c>
      <c r="B230" s="180"/>
      <c r="C230" s="181"/>
      <c r="D230" s="182"/>
      <c r="E230" s="7" t="s">
        <v>115</v>
      </c>
      <c r="F230" s="6" t="s">
        <v>105</v>
      </c>
      <c r="G230" s="31">
        <v>1500</v>
      </c>
      <c r="H230" s="6" t="s">
        <v>18</v>
      </c>
      <c r="I230" s="6" t="s">
        <v>75</v>
      </c>
      <c r="J230" s="198"/>
      <c r="K230" s="183"/>
      <c r="L230" s="21">
        <f>1078.1</f>
        <v>1078.0999999999999</v>
      </c>
      <c r="M230" s="21">
        <f>1078.1</f>
        <v>1078.0999999999999</v>
      </c>
      <c r="N230" s="21">
        <f t="shared" si="18"/>
        <v>0</v>
      </c>
      <c r="O230" s="23">
        <f>(G230-(G230*I237))-L230</f>
        <v>256.90000000000009</v>
      </c>
      <c r="P230" s="175"/>
    </row>
    <row r="231" spans="1:16" ht="36.75" customHeight="1" thickTop="1" thickBot="1" x14ac:dyDescent="0.35">
      <c r="A231" s="7" t="str">
        <f t="shared" si="17"/>
        <v>تسليم</v>
      </c>
      <c r="B231" s="180"/>
      <c r="C231" s="181"/>
      <c r="D231" s="182"/>
      <c r="E231" s="7" t="s">
        <v>115</v>
      </c>
      <c r="F231" s="6" t="s">
        <v>26</v>
      </c>
      <c r="G231" s="31">
        <v>1500</v>
      </c>
      <c r="H231" s="6"/>
      <c r="I231" s="6"/>
      <c r="J231" s="198"/>
      <c r="K231" s="183"/>
      <c r="L231" s="21">
        <f>451.9+437.9</f>
        <v>889.8</v>
      </c>
      <c r="M231" s="21">
        <f>451.9+437.6</f>
        <v>889.5</v>
      </c>
      <c r="N231" s="21">
        <f t="shared" si="18"/>
        <v>0.29999999999995453</v>
      </c>
      <c r="O231" s="23">
        <f>(G231-(G231*I237))-L231</f>
        <v>445.20000000000005</v>
      </c>
      <c r="P231" s="175"/>
    </row>
    <row r="232" spans="1:16" ht="36.75" customHeight="1" thickTop="1" thickBot="1" x14ac:dyDescent="0.35">
      <c r="A232" s="7" t="str">
        <f t="shared" si="17"/>
        <v>تسليم</v>
      </c>
      <c r="B232" s="180"/>
      <c r="C232" s="181"/>
      <c r="D232" s="182"/>
      <c r="E232" s="7" t="s">
        <v>115</v>
      </c>
      <c r="F232" s="6" t="s">
        <v>20</v>
      </c>
      <c r="G232" s="31">
        <v>1500</v>
      </c>
      <c r="H232" s="6" t="s">
        <v>18</v>
      </c>
      <c r="I232" s="6" t="s">
        <v>75</v>
      </c>
      <c r="J232" s="198"/>
      <c r="K232" s="183"/>
      <c r="L232" s="21">
        <f>472+475+391.55</f>
        <v>1338.55</v>
      </c>
      <c r="M232" s="21">
        <f>472+475+391.55</f>
        <v>1338.55</v>
      </c>
      <c r="N232" s="21">
        <f t="shared" si="18"/>
        <v>0</v>
      </c>
      <c r="O232" s="23">
        <f>(G232-(G232*I237))-L232</f>
        <v>-3.5499999999999545</v>
      </c>
      <c r="P232" s="175"/>
    </row>
    <row r="233" spans="1:16" ht="36.75" customHeight="1" thickTop="1" thickBot="1" x14ac:dyDescent="0.35">
      <c r="A233" s="7" t="str">
        <f t="shared" si="17"/>
        <v>تسليم</v>
      </c>
      <c r="B233" s="180"/>
      <c r="C233" s="181"/>
      <c r="D233" s="182"/>
      <c r="E233" s="7" t="s">
        <v>115</v>
      </c>
      <c r="F233" s="6" t="s">
        <v>119</v>
      </c>
      <c r="G233" s="31">
        <v>1500</v>
      </c>
      <c r="H233" s="6"/>
      <c r="I233" s="6"/>
      <c r="J233" s="198"/>
      <c r="K233" s="183"/>
      <c r="L233" s="21">
        <f>490.5+467+435.3+476.25+380</f>
        <v>2249.0500000000002</v>
      </c>
      <c r="M233" s="21">
        <f>490.5+467+435.3+476.25+380</f>
        <v>2249.0500000000002</v>
      </c>
      <c r="N233" s="21">
        <f t="shared" si="18"/>
        <v>0</v>
      </c>
      <c r="O233" s="23">
        <f>(G233-(G233*I237))-L233</f>
        <v>-914.05000000000018</v>
      </c>
      <c r="P233" s="175"/>
    </row>
    <row r="234" spans="1:16" ht="36.75" customHeight="1" thickTop="1" thickBot="1" x14ac:dyDescent="0.35">
      <c r="A234" s="7" t="str">
        <f t="shared" si="17"/>
        <v>تسليم</v>
      </c>
      <c r="B234" s="180"/>
      <c r="C234" s="181"/>
      <c r="D234" s="182"/>
      <c r="E234" s="7" t="s">
        <v>115</v>
      </c>
      <c r="F234" s="6" t="s">
        <v>120</v>
      </c>
      <c r="G234" s="31">
        <v>1500</v>
      </c>
      <c r="H234" s="6" t="s">
        <v>18</v>
      </c>
      <c r="I234" s="6" t="s">
        <v>75</v>
      </c>
      <c r="J234" s="198"/>
      <c r="K234" s="183"/>
      <c r="L234" s="21">
        <f>485.2+472.7</f>
        <v>957.9</v>
      </c>
      <c r="M234" s="21">
        <f>485.2+472.7</f>
        <v>957.9</v>
      </c>
      <c r="N234" s="21">
        <f t="shared" si="18"/>
        <v>0</v>
      </c>
      <c r="O234" s="23">
        <f>(G234-(G234*I237))-L234</f>
        <v>377.1</v>
      </c>
      <c r="P234" s="175"/>
    </row>
    <row r="235" spans="1:16" ht="36.75" customHeight="1" thickTop="1" thickBot="1" x14ac:dyDescent="0.35">
      <c r="A235" s="7" t="str">
        <f t="shared" si="17"/>
        <v>تسليم</v>
      </c>
      <c r="B235" s="180"/>
      <c r="C235" s="181"/>
      <c r="D235" s="182"/>
      <c r="E235" s="7" t="s">
        <v>115</v>
      </c>
      <c r="F235" s="6" t="s">
        <v>121</v>
      </c>
      <c r="G235" s="31">
        <v>1500</v>
      </c>
      <c r="H235" s="6"/>
      <c r="I235" s="6"/>
      <c r="J235" s="198"/>
      <c r="K235" s="183"/>
      <c r="L235" s="21">
        <f>453.1+490.4</f>
        <v>943.5</v>
      </c>
      <c r="M235" s="21">
        <f>453.1+490.4</f>
        <v>943.5</v>
      </c>
      <c r="N235" s="21">
        <f t="shared" si="18"/>
        <v>0</v>
      </c>
      <c r="O235" s="23">
        <f>(G235-(G235*I237))-L235</f>
        <v>391.5</v>
      </c>
      <c r="P235" s="175"/>
    </row>
    <row r="236" spans="1:16" ht="36.75" customHeight="1" thickTop="1" thickBot="1" x14ac:dyDescent="0.35">
      <c r="A236" s="7" t="str">
        <f t="shared" si="17"/>
        <v>تسليم</v>
      </c>
      <c r="B236" s="180"/>
      <c r="C236" s="181"/>
      <c r="D236" s="182"/>
      <c r="E236" s="7" t="s">
        <v>115</v>
      </c>
      <c r="F236" s="6" t="s">
        <v>122</v>
      </c>
      <c r="G236" s="31">
        <v>1500</v>
      </c>
      <c r="H236" s="6" t="s">
        <v>18</v>
      </c>
      <c r="I236" s="6" t="s">
        <v>75</v>
      </c>
      <c r="J236" s="198"/>
      <c r="K236" s="183"/>
      <c r="L236" s="21">
        <f>462.2+455.5+472.15</f>
        <v>1389.85</v>
      </c>
      <c r="M236" s="21">
        <f>462.2+435.3+472.15</f>
        <v>1369.65</v>
      </c>
      <c r="N236" s="21">
        <f t="shared" si="18"/>
        <v>20.199999999999818</v>
      </c>
      <c r="O236" s="23">
        <f>(G236-(G236*I237))-L236</f>
        <v>-54.849999999999909</v>
      </c>
      <c r="P236" s="175"/>
    </row>
    <row r="237" spans="1:16" ht="36.75" customHeight="1" thickTop="1" thickBot="1" x14ac:dyDescent="0.35">
      <c r="A237" s="7" t="str">
        <f>A236</f>
        <v>تسليم</v>
      </c>
      <c r="B237" s="179" t="s">
        <v>29</v>
      </c>
      <c r="C237" s="179"/>
      <c r="D237" s="179"/>
      <c r="E237" s="179"/>
      <c r="F237" s="179"/>
      <c r="G237" s="6">
        <f>SUBTOTAL(9,G226:G236)</f>
        <v>18000</v>
      </c>
      <c r="H237" s="2" t="s">
        <v>30</v>
      </c>
      <c r="I237" s="3">
        <v>0.11</v>
      </c>
      <c r="J237" s="25"/>
      <c r="K237" s="29"/>
      <c r="L237" s="21">
        <f>SUM(L226:L236)</f>
        <v>19007.099999999999</v>
      </c>
      <c r="M237" s="21">
        <f>SUBTOTAL(9,M226:M236)</f>
        <v>18965.050000000003</v>
      </c>
      <c r="N237" s="21">
        <f t="shared" si="18"/>
        <v>42.049999999995634</v>
      </c>
      <c r="O237" s="23">
        <f>SUM(O226:O236)</f>
        <v>-2987.1000000000004</v>
      </c>
      <c r="P237" s="175"/>
    </row>
    <row r="238" spans="1:16" ht="36.75" customHeight="1" thickTop="1" thickBot="1" x14ac:dyDescent="0.35">
      <c r="A238" s="88" t="s">
        <v>48</v>
      </c>
      <c r="B238" s="88" t="s">
        <v>0</v>
      </c>
      <c r="C238" s="88" t="s">
        <v>1</v>
      </c>
      <c r="D238" s="89" t="s">
        <v>2</v>
      </c>
      <c r="E238" s="88" t="s">
        <v>3</v>
      </c>
      <c r="F238" s="88" t="s">
        <v>11</v>
      </c>
      <c r="G238" s="88" t="s">
        <v>4</v>
      </c>
      <c r="H238" s="88" t="s">
        <v>15</v>
      </c>
      <c r="I238" s="88" t="s">
        <v>16</v>
      </c>
      <c r="J238" s="88" t="s">
        <v>56</v>
      </c>
      <c r="K238" s="88" t="s">
        <v>12</v>
      </c>
      <c r="L238" s="88" t="s">
        <v>13</v>
      </c>
      <c r="M238" s="88" t="s">
        <v>101</v>
      </c>
      <c r="N238" s="88" t="s">
        <v>100</v>
      </c>
      <c r="O238" s="88" t="s">
        <v>102</v>
      </c>
      <c r="P238" s="88" t="s">
        <v>5</v>
      </c>
    </row>
    <row r="239" spans="1:16" ht="36.75" customHeight="1" thickTop="1" thickBot="1" x14ac:dyDescent="0.35">
      <c r="A239" s="7" t="str">
        <f t="shared" ref="A239:A245" si="19">A238</f>
        <v>تسليم</v>
      </c>
      <c r="B239" s="180">
        <v>45986</v>
      </c>
      <c r="C239" s="181" t="s">
        <v>123</v>
      </c>
      <c r="D239" s="10" t="s">
        <v>86</v>
      </c>
      <c r="E239" s="7" t="s">
        <v>125</v>
      </c>
      <c r="F239" s="6" t="s">
        <v>116</v>
      </c>
      <c r="G239" s="31">
        <v>200</v>
      </c>
      <c r="H239" s="6" t="s">
        <v>126</v>
      </c>
      <c r="I239" s="6" t="s">
        <v>131</v>
      </c>
      <c r="J239" s="38">
        <f>(K239-(K239*I249))-L239</f>
        <v>29.899999999999977</v>
      </c>
      <c r="K239" s="39">
        <f>182+200.5</f>
        <v>382.5</v>
      </c>
      <c r="L239" s="21">
        <f>182.1+170.5</f>
        <v>352.6</v>
      </c>
      <c r="M239" s="21">
        <f>170.5</f>
        <v>170.5</v>
      </c>
      <c r="N239" s="21">
        <f t="shared" ref="N239:N247" si="20">L239-M239</f>
        <v>182.10000000000002</v>
      </c>
      <c r="O239" s="23">
        <f>(G239-(G239*I249))-L239</f>
        <v>-152.60000000000002</v>
      </c>
      <c r="P239" s="175" t="s">
        <v>10</v>
      </c>
    </row>
    <row r="240" spans="1:16" ht="36.75" customHeight="1" thickTop="1" thickBot="1" x14ac:dyDescent="0.35">
      <c r="A240" s="7" t="str">
        <f t="shared" si="19"/>
        <v>تسليم</v>
      </c>
      <c r="B240" s="180"/>
      <c r="C240" s="181"/>
      <c r="D240" s="10" t="s">
        <v>87</v>
      </c>
      <c r="E240" s="7" t="s">
        <v>125</v>
      </c>
      <c r="F240" s="6" t="s">
        <v>116</v>
      </c>
      <c r="G240" s="31">
        <v>200</v>
      </c>
      <c r="H240" s="6" t="s">
        <v>127</v>
      </c>
      <c r="I240" s="6" t="s">
        <v>131</v>
      </c>
      <c r="J240" s="38">
        <f>(K240-(K240*I249))-L240</f>
        <v>29.600000000000023</v>
      </c>
      <c r="K240" s="39">
        <f>185+200.5</f>
        <v>385.5</v>
      </c>
      <c r="L240" s="21">
        <f>175.9+180</f>
        <v>355.9</v>
      </c>
      <c r="M240" s="21">
        <f>175.9+180</f>
        <v>355.9</v>
      </c>
      <c r="N240" s="21">
        <f t="shared" si="20"/>
        <v>0</v>
      </c>
      <c r="O240" s="23">
        <f>(G240-(G240*I249))-L240</f>
        <v>-155.89999999999998</v>
      </c>
      <c r="P240" s="175"/>
    </row>
    <row r="241" spans="1:16" ht="36.75" customHeight="1" thickTop="1" thickBot="1" x14ac:dyDescent="0.35">
      <c r="A241" s="7" t="str">
        <f t="shared" si="19"/>
        <v>تسليم</v>
      </c>
      <c r="B241" s="180"/>
      <c r="C241" s="181"/>
      <c r="D241" s="10" t="s">
        <v>88</v>
      </c>
      <c r="E241" s="7" t="s">
        <v>125</v>
      </c>
      <c r="F241" s="6" t="s">
        <v>116</v>
      </c>
      <c r="G241" s="31">
        <v>200</v>
      </c>
      <c r="H241" s="6" t="s">
        <v>80</v>
      </c>
      <c r="I241" s="6" t="s">
        <v>131</v>
      </c>
      <c r="J241" s="38">
        <f>(K241-(K241*I249))-L241</f>
        <v>49.499999999999943</v>
      </c>
      <c r="K241" s="39">
        <f>194.2+195</f>
        <v>389.2</v>
      </c>
      <c r="L241" s="21">
        <f>147.9+191.8</f>
        <v>339.70000000000005</v>
      </c>
      <c r="M241" s="21">
        <f>147.9+191.8</f>
        <v>339.70000000000005</v>
      </c>
      <c r="N241" s="21">
        <f t="shared" si="20"/>
        <v>0</v>
      </c>
      <c r="O241" s="23">
        <f>(G241-(G241*I249))-L241</f>
        <v>-139.70000000000005</v>
      </c>
      <c r="P241" s="175"/>
    </row>
    <row r="242" spans="1:16" ht="36.75" customHeight="1" thickTop="1" thickBot="1" x14ac:dyDescent="0.35">
      <c r="A242" s="7" t="str">
        <f t="shared" si="19"/>
        <v>تسليم</v>
      </c>
      <c r="B242" s="180"/>
      <c r="C242" s="181"/>
      <c r="D242" s="10" t="s">
        <v>89</v>
      </c>
      <c r="E242" s="7" t="s">
        <v>125</v>
      </c>
      <c r="F242" s="6" t="s">
        <v>116</v>
      </c>
      <c r="G242" s="31">
        <v>400</v>
      </c>
      <c r="H242" s="6" t="s">
        <v>128</v>
      </c>
      <c r="I242" s="6" t="s">
        <v>131</v>
      </c>
      <c r="J242" s="38">
        <f>(K242-(K242*I249))-L242</f>
        <v>21.699999999999989</v>
      </c>
      <c r="K242" s="39">
        <f>397.2</f>
        <v>397.2</v>
      </c>
      <c r="L242" s="21">
        <f>375.5</f>
        <v>375.5</v>
      </c>
      <c r="M242" s="21">
        <f>375.5</f>
        <v>375.5</v>
      </c>
      <c r="N242" s="21">
        <f t="shared" si="20"/>
        <v>0</v>
      </c>
      <c r="O242" s="23">
        <f>(G242-(G242*I249))-L242</f>
        <v>24.5</v>
      </c>
      <c r="P242" s="175"/>
    </row>
    <row r="243" spans="1:16" ht="36.75" customHeight="1" thickTop="1" thickBot="1" x14ac:dyDescent="0.35">
      <c r="A243" s="7" t="str">
        <f t="shared" si="19"/>
        <v>تسليم</v>
      </c>
      <c r="B243" s="180"/>
      <c r="C243" s="181"/>
      <c r="D243" s="10" t="s">
        <v>89</v>
      </c>
      <c r="E243" s="7" t="s">
        <v>125</v>
      </c>
      <c r="F243" s="6" t="s">
        <v>116</v>
      </c>
      <c r="G243" s="31">
        <v>300</v>
      </c>
      <c r="H243" s="6" t="s">
        <v>83</v>
      </c>
      <c r="I243" s="6" t="s">
        <v>131</v>
      </c>
      <c r="J243" s="38">
        <f>(K243-(K243*I249))-L243</f>
        <v>38</v>
      </c>
      <c r="K243" s="39">
        <f>306.4</f>
        <v>306.39999999999998</v>
      </c>
      <c r="L243" s="21">
        <f>268.4</f>
        <v>268.39999999999998</v>
      </c>
      <c r="M243" s="21">
        <f>268.4</f>
        <v>268.39999999999998</v>
      </c>
      <c r="N243" s="21">
        <f t="shared" si="20"/>
        <v>0</v>
      </c>
      <c r="O243" s="23">
        <f>(G243-(G243*I249))-L243</f>
        <v>31.600000000000023</v>
      </c>
      <c r="P243" s="175"/>
    </row>
    <row r="244" spans="1:16" ht="36.75" customHeight="1" thickTop="1" thickBot="1" x14ac:dyDescent="0.35">
      <c r="A244" s="7" t="str">
        <f t="shared" si="19"/>
        <v>تسليم</v>
      </c>
      <c r="B244" s="180"/>
      <c r="C244" s="181"/>
      <c r="D244" s="10" t="s">
        <v>124</v>
      </c>
      <c r="E244" s="7" t="s">
        <v>125</v>
      </c>
      <c r="F244" s="6" t="s">
        <v>116</v>
      </c>
      <c r="G244" s="31">
        <v>300</v>
      </c>
      <c r="H244" s="6" t="s">
        <v>129</v>
      </c>
      <c r="I244" s="6" t="s">
        <v>131</v>
      </c>
      <c r="J244" s="38">
        <f>(K244-(K244*I249))-L244</f>
        <v>34.299999999999983</v>
      </c>
      <c r="K244" s="39">
        <f>282.7</f>
        <v>282.7</v>
      </c>
      <c r="L244" s="21">
        <f>248.4</f>
        <v>248.4</v>
      </c>
      <c r="M244" s="21">
        <f>248.4</f>
        <v>248.4</v>
      </c>
      <c r="N244" s="21">
        <f t="shared" si="20"/>
        <v>0</v>
      </c>
      <c r="O244" s="23">
        <f>(G244-(G244*I249))-L244</f>
        <v>51.599999999999994</v>
      </c>
      <c r="P244" s="175"/>
    </row>
    <row r="245" spans="1:16" ht="36.75" customHeight="1" thickTop="1" thickBot="1" x14ac:dyDescent="0.35">
      <c r="A245" s="7" t="str">
        <f t="shared" si="19"/>
        <v>تسليم</v>
      </c>
      <c r="B245" s="180"/>
      <c r="C245" s="181"/>
      <c r="D245" s="10" t="s">
        <v>7</v>
      </c>
      <c r="E245" s="7" t="s">
        <v>125</v>
      </c>
      <c r="F245" s="6" t="s">
        <v>116</v>
      </c>
      <c r="G245" s="31">
        <v>400</v>
      </c>
      <c r="H245" s="6" t="s">
        <v>130</v>
      </c>
      <c r="I245" s="6" t="s">
        <v>131</v>
      </c>
      <c r="J245" s="38">
        <f>(K245-(K245*I249))-L245</f>
        <v>48.399999999999977</v>
      </c>
      <c r="K245" s="39">
        <f>379.9</f>
        <v>379.9</v>
      </c>
      <c r="L245" s="21">
        <f>331.5</f>
        <v>331.5</v>
      </c>
      <c r="M245" s="21">
        <f>331.5</f>
        <v>331.5</v>
      </c>
      <c r="N245" s="21">
        <f t="shared" si="20"/>
        <v>0</v>
      </c>
      <c r="O245" s="23">
        <f>(G245-(G245*I249))-L245</f>
        <v>68.5</v>
      </c>
      <c r="P245" s="175"/>
    </row>
    <row r="246" spans="1:16" ht="36.75" customHeight="1" thickTop="1" thickBot="1" x14ac:dyDescent="0.35">
      <c r="A246" s="7" t="str">
        <f>A245</f>
        <v>تسليم</v>
      </c>
      <c r="B246" s="180"/>
      <c r="C246" s="181"/>
      <c r="D246" s="10" t="s">
        <v>7</v>
      </c>
      <c r="E246" s="7" t="s">
        <v>132</v>
      </c>
      <c r="F246" s="6" t="s">
        <v>116</v>
      </c>
      <c r="G246" s="31">
        <v>100</v>
      </c>
      <c r="H246" s="6"/>
      <c r="I246" s="6"/>
      <c r="J246" s="38">
        <f>(K246-(K246*I249))-L246</f>
        <v>-1.6000000000000085</v>
      </c>
      <c r="K246" s="39">
        <f>104.3</f>
        <v>104.3</v>
      </c>
      <c r="L246" s="21">
        <f>42.2+42.6+21.1</f>
        <v>105.9</v>
      </c>
      <c r="M246" s="21">
        <f>42.6+21.1</f>
        <v>63.7</v>
      </c>
      <c r="N246" s="21">
        <f t="shared" si="20"/>
        <v>42.2</v>
      </c>
      <c r="O246" s="23">
        <f>(G246-(G246*I249))-L246</f>
        <v>-5.9000000000000057</v>
      </c>
      <c r="P246" s="175"/>
    </row>
    <row r="247" spans="1:16" ht="36.75" customHeight="1" thickTop="1" thickBot="1" x14ac:dyDescent="0.35">
      <c r="A247" s="7" t="str">
        <f>A246</f>
        <v>تسليم</v>
      </c>
      <c r="B247" s="180"/>
      <c r="C247" s="181"/>
      <c r="D247" s="10" t="s">
        <v>7</v>
      </c>
      <c r="E247" s="7" t="s">
        <v>133</v>
      </c>
      <c r="F247" s="6" t="s">
        <v>116</v>
      </c>
      <c r="G247" s="31">
        <v>50</v>
      </c>
      <c r="H247" s="6"/>
      <c r="I247" s="6"/>
      <c r="J247" s="38">
        <f>(K247-(K247*I249))-L247</f>
        <v>10.799999999999997</v>
      </c>
      <c r="K247" s="39">
        <f>50.4</f>
        <v>50.4</v>
      </c>
      <c r="L247" s="21">
        <f>39.6</f>
        <v>39.6</v>
      </c>
      <c r="M247" s="21">
        <f>39.6</f>
        <v>39.6</v>
      </c>
      <c r="N247" s="21">
        <f t="shared" si="20"/>
        <v>0</v>
      </c>
      <c r="O247" s="23">
        <f>(G247-(G247*I249))-L247</f>
        <v>10.399999999999999</v>
      </c>
      <c r="P247" s="175"/>
    </row>
    <row r="248" spans="1:16" ht="36.75" customHeight="1" thickTop="1" thickBot="1" x14ac:dyDescent="0.35">
      <c r="A248" s="7"/>
      <c r="B248" s="180"/>
      <c r="C248" s="181"/>
      <c r="D248" s="10" t="s">
        <v>7</v>
      </c>
      <c r="E248" s="7" t="s">
        <v>135</v>
      </c>
      <c r="F248" s="6" t="s">
        <v>116</v>
      </c>
      <c r="G248" s="31">
        <v>25</v>
      </c>
      <c r="H248" s="6"/>
      <c r="I248" s="6"/>
      <c r="J248" s="38">
        <f>(K248-(K248*I249))-L248</f>
        <v>27.6</v>
      </c>
      <c r="K248" s="39">
        <f>27.6</f>
        <v>27.6</v>
      </c>
      <c r="L248" s="21"/>
      <c r="M248" s="21"/>
      <c r="N248" s="21"/>
      <c r="O248" s="23">
        <f>(G248-(G248*I249))-L248</f>
        <v>25</v>
      </c>
      <c r="P248" s="175"/>
    </row>
    <row r="249" spans="1:16" ht="36.75" customHeight="1" thickTop="1" thickBot="1" x14ac:dyDescent="0.35">
      <c r="A249" s="7" t="str">
        <f>A247</f>
        <v>تسليم</v>
      </c>
      <c r="B249" s="179" t="s">
        <v>29</v>
      </c>
      <c r="C249" s="179"/>
      <c r="D249" s="179"/>
      <c r="E249" s="179"/>
      <c r="F249" s="179"/>
      <c r="G249" s="6">
        <f>SUBTOTAL(9,G239:G248)</f>
        <v>2175</v>
      </c>
      <c r="H249" s="2" t="s">
        <v>30</v>
      </c>
      <c r="I249" s="3">
        <v>0</v>
      </c>
      <c r="J249" s="25"/>
      <c r="K249" s="29"/>
      <c r="L249" s="21">
        <f>SUM(L239:L248)</f>
        <v>2417.5</v>
      </c>
      <c r="M249" s="21">
        <f>SUBTOTAL(9,M239:M248)</f>
        <v>2193.1999999999998</v>
      </c>
      <c r="N249" s="21">
        <f>L249-M249</f>
        <v>224.30000000000018</v>
      </c>
      <c r="O249" s="23">
        <f>SUM(O239:O248)</f>
        <v>-242.5</v>
      </c>
      <c r="P249" s="175"/>
    </row>
    <row r="250" spans="1:16" ht="36.75" customHeight="1" thickTop="1" thickBot="1" x14ac:dyDescent="0.35">
      <c r="A250" s="88" t="s">
        <v>48</v>
      </c>
      <c r="B250" s="88" t="s">
        <v>0</v>
      </c>
      <c r="C250" s="88" t="s">
        <v>1</v>
      </c>
      <c r="D250" s="89" t="s">
        <v>2</v>
      </c>
      <c r="E250" s="88" t="s">
        <v>3</v>
      </c>
      <c r="F250" s="88" t="s">
        <v>11</v>
      </c>
      <c r="G250" s="88" t="s">
        <v>4</v>
      </c>
      <c r="H250" s="88" t="s">
        <v>15</v>
      </c>
      <c r="I250" s="88" t="s">
        <v>16</v>
      </c>
      <c r="J250" s="88" t="s">
        <v>56</v>
      </c>
      <c r="K250" s="88" t="s">
        <v>12</v>
      </c>
      <c r="L250" s="88" t="s">
        <v>13</v>
      </c>
      <c r="M250" s="88" t="s">
        <v>101</v>
      </c>
      <c r="N250" s="88" t="s">
        <v>100</v>
      </c>
      <c r="O250" s="88" t="s">
        <v>102</v>
      </c>
      <c r="P250" s="88" t="s">
        <v>5</v>
      </c>
    </row>
    <row r="251" spans="1:16" ht="36.75" customHeight="1" thickTop="1" thickBot="1" x14ac:dyDescent="0.35">
      <c r="A251" s="7" t="str">
        <f t="shared" ref="A251:A257" si="21">A250</f>
        <v>تسليم</v>
      </c>
      <c r="B251" s="180">
        <v>46002</v>
      </c>
      <c r="C251" s="181" t="s">
        <v>123</v>
      </c>
      <c r="D251" s="10" t="s">
        <v>137</v>
      </c>
      <c r="E251" s="7" t="s">
        <v>136</v>
      </c>
      <c r="F251" s="6" t="s">
        <v>116</v>
      </c>
      <c r="G251" s="31">
        <v>155</v>
      </c>
      <c r="H251" s="6" t="s">
        <v>143</v>
      </c>
      <c r="I251" s="6" t="s">
        <v>148</v>
      </c>
      <c r="J251" s="38">
        <f>(K251-(K251*I261))-L251</f>
        <v>-189.20000000000002</v>
      </c>
      <c r="K251" s="39">
        <f>182.9</f>
        <v>182.9</v>
      </c>
      <c r="L251" s="21">
        <f>14+178.4+179.7</f>
        <v>372.1</v>
      </c>
      <c r="M251" s="21">
        <f>14+179.7</f>
        <v>193.7</v>
      </c>
      <c r="N251" s="21">
        <f t="shared" ref="N251:N261" si="22">L251-M251</f>
        <v>178.40000000000003</v>
      </c>
      <c r="O251" s="23">
        <f>(G251-(G251*I261))-L251</f>
        <v>-217.10000000000002</v>
      </c>
      <c r="P251" s="175" t="s">
        <v>10</v>
      </c>
    </row>
    <row r="252" spans="1:16" ht="36.75" customHeight="1" thickTop="1" thickBot="1" x14ac:dyDescent="0.35">
      <c r="A252" s="7" t="str">
        <f t="shared" si="21"/>
        <v>تسليم</v>
      </c>
      <c r="B252" s="180"/>
      <c r="C252" s="181"/>
      <c r="D252" s="10" t="s">
        <v>138</v>
      </c>
      <c r="E252" s="7" t="s">
        <v>136</v>
      </c>
      <c r="F252" s="6" t="s">
        <v>116</v>
      </c>
      <c r="G252" s="31">
        <v>340</v>
      </c>
      <c r="H252" s="6" t="s">
        <v>144</v>
      </c>
      <c r="I252" s="6" t="s">
        <v>148</v>
      </c>
      <c r="J252" s="38">
        <f>(K252-(K252*I261))-L252</f>
        <v>5.8000000000000114</v>
      </c>
      <c r="K252" s="39">
        <f>339.8</f>
        <v>339.8</v>
      </c>
      <c r="L252" s="21">
        <f>334</f>
        <v>334</v>
      </c>
      <c r="M252" s="21">
        <f>334</f>
        <v>334</v>
      </c>
      <c r="N252" s="21">
        <f t="shared" si="22"/>
        <v>0</v>
      </c>
      <c r="O252" s="23">
        <f>(G252-(G252*I261))-L252</f>
        <v>6</v>
      </c>
      <c r="P252" s="175"/>
    </row>
    <row r="253" spans="1:16" ht="36.75" customHeight="1" thickTop="1" thickBot="1" x14ac:dyDescent="0.35">
      <c r="A253" s="7" t="str">
        <f t="shared" si="21"/>
        <v>تسليم</v>
      </c>
      <c r="B253" s="180"/>
      <c r="C253" s="181"/>
      <c r="D253" s="10" t="s">
        <v>139</v>
      </c>
      <c r="E253" s="7" t="s">
        <v>136</v>
      </c>
      <c r="F253" s="6" t="s">
        <v>116</v>
      </c>
      <c r="G253" s="31">
        <v>570</v>
      </c>
      <c r="H253" s="6" t="s">
        <v>126</v>
      </c>
      <c r="I253" s="6" t="s">
        <v>148</v>
      </c>
      <c r="J253" s="38">
        <f>(K253-(K253*I261))-L253</f>
        <v>57.700000000000045</v>
      </c>
      <c r="K253" s="39">
        <f>606.7</f>
        <v>606.70000000000005</v>
      </c>
      <c r="L253" s="21">
        <f>549</f>
        <v>549</v>
      </c>
      <c r="M253" s="21">
        <f>549</f>
        <v>549</v>
      </c>
      <c r="N253" s="21">
        <f t="shared" si="22"/>
        <v>0</v>
      </c>
      <c r="O253" s="23">
        <f>(G253-(G253*I261))-L253</f>
        <v>21</v>
      </c>
      <c r="P253" s="175"/>
    </row>
    <row r="254" spans="1:16" ht="36.75" customHeight="1" thickTop="1" thickBot="1" x14ac:dyDescent="0.35">
      <c r="A254" s="7" t="str">
        <f t="shared" si="21"/>
        <v>تسليم</v>
      </c>
      <c r="B254" s="180"/>
      <c r="C254" s="181"/>
      <c r="D254" s="10" t="s">
        <v>139</v>
      </c>
      <c r="E254" s="7" t="s">
        <v>136</v>
      </c>
      <c r="F254" s="6" t="s">
        <v>116</v>
      </c>
      <c r="G254" s="31">
        <v>600</v>
      </c>
      <c r="H254" s="6" t="s">
        <v>127</v>
      </c>
      <c r="I254" s="6" t="s">
        <v>148</v>
      </c>
      <c r="J254" s="38">
        <f>(K254-(K254*I261))-L254</f>
        <v>-24.200000000000045</v>
      </c>
      <c r="K254" s="39">
        <f>564.3</f>
        <v>564.29999999999995</v>
      </c>
      <c r="L254" s="21">
        <f>588.5</f>
        <v>588.5</v>
      </c>
      <c r="M254" s="21">
        <f>588.5</f>
        <v>588.5</v>
      </c>
      <c r="N254" s="21">
        <f t="shared" si="22"/>
        <v>0</v>
      </c>
      <c r="O254" s="23">
        <f>(G254-(G254*I261))-L254</f>
        <v>11.5</v>
      </c>
      <c r="P254" s="175"/>
    </row>
    <row r="255" spans="1:16" ht="36.75" customHeight="1" thickTop="1" thickBot="1" x14ac:dyDescent="0.35">
      <c r="A255" s="7" t="str">
        <f t="shared" si="21"/>
        <v>تسليم</v>
      </c>
      <c r="B255" s="180"/>
      <c r="C255" s="181"/>
      <c r="D255" s="10" t="s">
        <v>140</v>
      </c>
      <c r="E255" s="7" t="s">
        <v>136</v>
      </c>
      <c r="F255" s="6" t="s">
        <v>116</v>
      </c>
      <c r="G255" s="31">
        <v>430</v>
      </c>
      <c r="H255" s="6" t="s">
        <v>80</v>
      </c>
      <c r="I255" s="6" t="s">
        <v>148</v>
      </c>
      <c r="J255" s="38">
        <f>(K255-(K255*I261))-L255</f>
        <v>10.849999999999966</v>
      </c>
      <c r="K255" s="39">
        <f>432.7</f>
        <v>432.7</v>
      </c>
      <c r="L255" s="21">
        <f>421.85</f>
        <v>421.85</v>
      </c>
      <c r="M255" s="21">
        <f>421.85</f>
        <v>421.85</v>
      </c>
      <c r="N255" s="21">
        <f t="shared" si="22"/>
        <v>0</v>
      </c>
      <c r="O255" s="23">
        <f>(G255-(G255*I261))-L255</f>
        <v>8.1499999999999773</v>
      </c>
      <c r="P255" s="175"/>
    </row>
    <row r="256" spans="1:16" ht="36.75" customHeight="1" thickTop="1" thickBot="1" x14ac:dyDescent="0.35">
      <c r="A256" s="7" t="str">
        <f t="shared" si="21"/>
        <v>تسليم</v>
      </c>
      <c r="B256" s="180"/>
      <c r="C256" s="181"/>
      <c r="D256" s="10" t="s">
        <v>86</v>
      </c>
      <c r="E256" s="7" t="s">
        <v>136</v>
      </c>
      <c r="F256" s="6" t="s">
        <v>116</v>
      </c>
      <c r="G256" s="31">
        <v>460</v>
      </c>
      <c r="H256" s="6" t="s">
        <v>128</v>
      </c>
      <c r="I256" s="6" t="s">
        <v>148</v>
      </c>
      <c r="J256" s="38">
        <f>(K256-(K256*I261))-L256</f>
        <v>10.300000000000011</v>
      </c>
      <c r="K256" s="39">
        <f>338.8+137</f>
        <v>475.8</v>
      </c>
      <c r="L256" s="21">
        <f>465.5</f>
        <v>465.5</v>
      </c>
      <c r="M256" s="21">
        <f>465.5</f>
        <v>465.5</v>
      </c>
      <c r="N256" s="21">
        <f t="shared" si="22"/>
        <v>0</v>
      </c>
      <c r="O256" s="23">
        <f>(G256-(G256*I261))-L256</f>
        <v>-5.5</v>
      </c>
      <c r="P256" s="175"/>
    </row>
    <row r="257" spans="1:16" ht="36.75" customHeight="1" thickTop="1" thickBot="1" x14ac:dyDescent="0.35">
      <c r="A257" s="7" t="str">
        <f t="shared" si="21"/>
        <v>تسليم</v>
      </c>
      <c r="B257" s="180"/>
      <c r="C257" s="181"/>
      <c r="D257" s="10" t="s">
        <v>87</v>
      </c>
      <c r="E257" s="7" t="s">
        <v>136</v>
      </c>
      <c r="F257" s="6" t="s">
        <v>116</v>
      </c>
      <c r="G257" s="31">
        <v>250</v>
      </c>
      <c r="H257" s="6" t="s">
        <v>83</v>
      </c>
      <c r="I257" s="6" t="s">
        <v>148</v>
      </c>
      <c r="J257" s="38">
        <f>(K257-(K257*I261))-L257</f>
        <v>7</v>
      </c>
      <c r="K257" s="39">
        <f>247</f>
        <v>247</v>
      </c>
      <c r="L257" s="21">
        <f>240</f>
        <v>240</v>
      </c>
      <c r="M257" s="21">
        <f>240</f>
        <v>240</v>
      </c>
      <c r="N257" s="21">
        <f t="shared" si="22"/>
        <v>0</v>
      </c>
      <c r="O257" s="23">
        <f>(G257-(G257*I261))-L257</f>
        <v>10</v>
      </c>
      <c r="P257" s="175"/>
    </row>
    <row r="258" spans="1:16" ht="36.75" customHeight="1" thickTop="1" thickBot="1" x14ac:dyDescent="0.35">
      <c r="A258" s="7" t="str">
        <f>A257</f>
        <v>تسليم</v>
      </c>
      <c r="B258" s="180"/>
      <c r="C258" s="181"/>
      <c r="D258" s="10" t="s">
        <v>88</v>
      </c>
      <c r="E258" s="7" t="s">
        <v>136</v>
      </c>
      <c r="F258" s="6" t="s">
        <v>116</v>
      </c>
      <c r="G258" s="31">
        <v>260</v>
      </c>
      <c r="H258" s="6" t="s">
        <v>129</v>
      </c>
      <c r="I258" s="6" t="s">
        <v>148</v>
      </c>
      <c r="J258" s="38">
        <f>(K258-(K258*I261))-L258</f>
        <v>6.8000000000000114</v>
      </c>
      <c r="K258" s="39">
        <f>266.3</f>
        <v>266.3</v>
      </c>
      <c r="L258" s="21">
        <f>259.5</f>
        <v>259.5</v>
      </c>
      <c r="M258" s="21">
        <f>259.5</f>
        <v>259.5</v>
      </c>
      <c r="N258" s="21">
        <f t="shared" si="22"/>
        <v>0</v>
      </c>
      <c r="O258" s="23">
        <f>(G258-(G258*I261))-L258</f>
        <v>0.5</v>
      </c>
      <c r="P258" s="175"/>
    </row>
    <row r="259" spans="1:16" ht="36.75" customHeight="1" thickTop="1" thickBot="1" x14ac:dyDescent="0.35">
      <c r="A259" s="7" t="str">
        <f>A258</f>
        <v>تسليم</v>
      </c>
      <c r="B259" s="180"/>
      <c r="C259" s="181"/>
      <c r="D259" s="10" t="s">
        <v>141</v>
      </c>
      <c r="E259" s="7" t="s">
        <v>136</v>
      </c>
      <c r="F259" s="6" t="s">
        <v>116</v>
      </c>
      <c r="G259" s="31">
        <v>1350</v>
      </c>
      <c r="H259" s="6" t="s">
        <v>130</v>
      </c>
      <c r="I259" s="6" t="s">
        <v>148</v>
      </c>
      <c r="J259" s="38">
        <f>(K259-(K259*I261))-L259</f>
        <v>-91.800000000000182</v>
      </c>
      <c r="K259" s="39">
        <f>606.2+153.6+636.8</f>
        <v>1396.6</v>
      </c>
      <c r="L259" s="21">
        <f>338.5+555+594.9</f>
        <v>1488.4</v>
      </c>
      <c r="M259" s="21">
        <f>338.5+555+594.9</f>
        <v>1488.4</v>
      </c>
      <c r="N259" s="21">
        <f t="shared" si="22"/>
        <v>0</v>
      </c>
      <c r="O259" s="23">
        <f>(G259-(G259*I261))-L259</f>
        <v>-138.40000000000009</v>
      </c>
      <c r="P259" s="175"/>
    </row>
    <row r="260" spans="1:16" ht="36.75" customHeight="1" thickTop="1" thickBot="1" x14ac:dyDescent="0.35">
      <c r="A260" s="7"/>
      <c r="B260" s="180"/>
      <c r="C260" s="181"/>
      <c r="D260" s="10" t="s">
        <v>7</v>
      </c>
      <c r="E260" s="7" t="s">
        <v>142</v>
      </c>
      <c r="F260" s="6" t="s">
        <v>116</v>
      </c>
      <c r="G260" s="31">
        <v>250</v>
      </c>
      <c r="H260" s="6" t="s">
        <v>145</v>
      </c>
      <c r="I260" s="6" t="s">
        <v>146</v>
      </c>
      <c r="J260" s="38">
        <f>(K260-(K260*I261))-L260</f>
        <v>129.80000000000001</v>
      </c>
      <c r="K260" s="39">
        <f>259.8</f>
        <v>259.8</v>
      </c>
      <c r="L260" s="21">
        <f>8.5+121.5</f>
        <v>130</v>
      </c>
      <c r="M260" s="21">
        <f>8.5+121.5</f>
        <v>130</v>
      </c>
      <c r="N260" s="85">
        <f t="shared" si="22"/>
        <v>0</v>
      </c>
      <c r="O260" s="23">
        <f>(G260-(G260*I261))-L260</f>
        <v>120</v>
      </c>
      <c r="P260" s="175"/>
    </row>
    <row r="261" spans="1:16" ht="36.75" customHeight="1" thickTop="1" thickBot="1" x14ac:dyDescent="0.35">
      <c r="A261" s="7" t="str">
        <f>A259</f>
        <v>تسليم</v>
      </c>
      <c r="B261" s="179" t="s">
        <v>29</v>
      </c>
      <c r="C261" s="179"/>
      <c r="D261" s="179"/>
      <c r="E261" s="179"/>
      <c r="F261" s="179"/>
      <c r="G261" s="6">
        <f>SUBTOTAL(9,G251:G260)</f>
        <v>4665</v>
      </c>
      <c r="H261" s="2" t="s">
        <v>30</v>
      </c>
      <c r="I261" s="3">
        <v>0</v>
      </c>
      <c r="J261" s="25"/>
      <c r="K261" s="29"/>
      <c r="L261" s="21">
        <f>SUM(L251:L257)</f>
        <v>2970.95</v>
      </c>
      <c r="M261" s="21">
        <f>SUBTOTAL(9,M251:M257)</f>
        <v>2792.55</v>
      </c>
      <c r="N261" s="21">
        <f t="shared" si="22"/>
        <v>178.39999999999964</v>
      </c>
      <c r="O261" s="23">
        <f>SUM(O251:O260)</f>
        <v>-183.85000000000014</v>
      </c>
      <c r="P261" s="175"/>
    </row>
    <row r="262" spans="1:16" ht="36.75" customHeight="1" thickTop="1" thickBot="1" x14ac:dyDescent="0.35">
      <c r="A262" s="88" t="s">
        <v>48</v>
      </c>
      <c r="B262" s="88" t="s">
        <v>0</v>
      </c>
      <c r="C262" s="88" t="s">
        <v>1</v>
      </c>
      <c r="D262" s="89" t="s">
        <v>2</v>
      </c>
      <c r="E262" s="88" t="s">
        <v>3</v>
      </c>
      <c r="F262" s="88" t="s">
        <v>11</v>
      </c>
      <c r="G262" s="88" t="s">
        <v>4</v>
      </c>
      <c r="H262" s="88" t="s">
        <v>15</v>
      </c>
      <c r="I262" s="88" t="s">
        <v>16</v>
      </c>
      <c r="J262" s="88" t="s">
        <v>56</v>
      </c>
      <c r="K262" s="88" t="s">
        <v>12</v>
      </c>
      <c r="L262" s="88" t="s">
        <v>13</v>
      </c>
      <c r="M262" s="88" t="s">
        <v>101</v>
      </c>
      <c r="N262" s="88" t="s">
        <v>100</v>
      </c>
      <c r="O262" s="88" t="s">
        <v>102</v>
      </c>
      <c r="P262" s="88" t="s">
        <v>5</v>
      </c>
    </row>
    <row r="263" spans="1:16" ht="36.75" customHeight="1" thickTop="1" thickBot="1" x14ac:dyDescent="0.35">
      <c r="A263" s="7" t="str">
        <f t="shared" ref="A263:A270" si="23">A262</f>
        <v>تسليم</v>
      </c>
      <c r="B263" s="180">
        <v>46002</v>
      </c>
      <c r="C263" s="181" t="s">
        <v>123</v>
      </c>
      <c r="D263" s="10" t="s">
        <v>137</v>
      </c>
      <c r="E263" s="7" t="s">
        <v>147</v>
      </c>
      <c r="F263" s="6" t="s">
        <v>116</v>
      </c>
      <c r="G263" s="31">
        <v>160</v>
      </c>
      <c r="H263" s="6" t="s">
        <v>143</v>
      </c>
      <c r="I263" s="6" t="s">
        <v>148</v>
      </c>
      <c r="J263" s="38">
        <f>(K263-(K263*I271))-L263</f>
        <v>10.899999999999977</v>
      </c>
      <c r="K263" s="39">
        <f>155.7</f>
        <v>155.69999999999999</v>
      </c>
      <c r="L263" s="21">
        <f>144.8</f>
        <v>144.80000000000001</v>
      </c>
      <c r="M263" s="21">
        <f>144.8</f>
        <v>144.80000000000001</v>
      </c>
      <c r="N263" s="21">
        <f t="shared" ref="N263:N271" si="24">L263-M263</f>
        <v>0</v>
      </c>
      <c r="O263" s="23">
        <f>(G263-(G263*I271))-L263</f>
        <v>15.199999999999989</v>
      </c>
      <c r="P263" s="175" t="s">
        <v>10</v>
      </c>
    </row>
    <row r="264" spans="1:16" ht="36.75" customHeight="1" thickTop="1" thickBot="1" x14ac:dyDescent="0.35">
      <c r="A264" s="7" t="str">
        <f t="shared" si="23"/>
        <v>تسليم</v>
      </c>
      <c r="B264" s="180"/>
      <c r="C264" s="181"/>
      <c r="D264" s="10" t="s">
        <v>138</v>
      </c>
      <c r="E264" s="7" t="s">
        <v>147</v>
      </c>
      <c r="F264" s="6" t="s">
        <v>116</v>
      </c>
      <c r="G264" s="31">
        <v>360</v>
      </c>
      <c r="H264" s="6" t="s">
        <v>144</v>
      </c>
      <c r="I264" s="6" t="s">
        <v>148</v>
      </c>
      <c r="J264" s="38">
        <f>(K264-(K264*I271))-L264</f>
        <v>0</v>
      </c>
      <c r="K264" s="39">
        <f>335</f>
        <v>335</v>
      </c>
      <c r="L264" s="21">
        <f>335</f>
        <v>335</v>
      </c>
      <c r="M264" s="21"/>
      <c r="N264" s="21">
        <f t="shared" si="24"/>
        <v>335</v>
      </c>
      <c r="O264" s="23">
        <f>(G264-(G264*I271))-L264</f>
        <v>25</v>
      </c>
      <c r="P264" s="175"/>
    </row>
    <row r="265" spans="1:16" ht="36.75" customHeight="1" thickTop="1" thickBot="1" x14ac:dyDescent="0.35">
      <c r="A265" s="7" t="str">
        <f t="shared" si="23"/>
        <v>تسليم</v>
      </c>
      <c r="B265" s="180"/>
      <c r="C265" s="181"/>
      <c r="D265" s="10" t="s">
        <v>139</v>
      </c>
      <c r="E265" s="7" t="s">
        <v>147</v>
      </c>
      <c r="F265" s="6" t="s">
        <v>116</v>
      </c>
      <c r="G265" s="31">
        <v>200</v>
      </c>
      <c r="H265" s="6" t="s">
        <v>126</v>
      </c>
      <c r="I265" s="6" t="s">
        <v>148</v>
      </c>
      <c r="J265" s="38">
        <f>(K265-(K265*I271))-L265</f>
        <v>45.900000000000006</v>
      </c>
      <c r="K265" s="39">
        <f>225.3</f>
        <v>225.3</v>
      </c>
      <c r="L265" s="21">
        <f>179.4</f>
        <v>179.4</v>
      </c>
      <c r="M265" s="21">
        <f>179.4</f>
        <v>179.4</v>
      </c>
      <c r="N265" s="21">
        <f t="shared" si="24"/>
        <v>0</v>
      </c>
      <c r="O265" s="23">
        <f>(G265-(G265*I271))-L265</f>
        <v>20.599999999999994</v>
      </c>
      <c r="P265" s="175"/>
    </row>
    <row r="266" spans="1:16" ht="36.75" customHeight="1" thickTop="1" thickBot="1" x14ac:dyDescent="0.35">
      <c r="A266" s="7" t="str">
        <f t="shared" si="23"/>
        <v>تسليم</v>
      </c>
      <c r="B266" s="180"/>
      <c r="C266" s="181"/>
      <c r="D266" s="10" t="s">
        <v>139</v>
      </c>
      <c r="E266" s="7" t="s">
        <v>147</v>
      </c>
      <c r="F266" s="6" t="s">
        <v>116</v>
      </c>
      <c r="G266" s="31">
        <v>220</v>
      </c>
      <c r="H266" s="6" t="s">
        <v>127</v>
      </c>
      <c r="I266" s="6" t="s">
        <v>148</v>
      </c>
      <c r="J266" s="38">
        <f>(K266-(K266*I271))-L266</f>
        <v>-19.599999999999994</v>
      </c>
      <c r="K266" s="39">
        <f>190</f>
        <v>190</v>
      </c>
      <c r="L266" s="21">
        <f>209.6</f>
        <v>209.6</v>
      </c>
      <c r="M266" s="21">
        <f>209.6</f>
        <v>209.6</v>
      </c>
      <c r="N266" s="21">
        <f t="shared" si="24"/>
        <v>0</v>
      </c>
      <c r="O266" s="23">
        <f>(G266-(G266*I271))-L266</f>
        <v>10.400000000000006</v>
      </c>
      <c r="P266" s="175"/>
    </row>
    <row r="267" spans="1:16" ht="36.75" customHeight="1" thickTop="1" thickBot="1" x14ac:dyDescent="0.35">
      <c r="A267" s="7" t="str">
        <f t="shared" si="23"/>
        <v>تسليم</v>
      </c>
      <c r="B267" s="180"/>
      <c r="C267" s="181"/>
      <c r="D267" s="10" t="s">
        <v>140</v>
      </c>
      <c r="E267" s="7" t="s">
        <v>147</v>
      </c>
      <c r="F267" s="6" t="s">
        <v>116</v>
      </c>
      <c r="G267" s="31">
        <v>450</v>
      </c>
      <c r="H267" s="6" t="s">
        <v>80</v>
      </c>
      <c r="I267" s="6" t="s">
        <v>148</v>
      </c>
      <c r="J267" s="38">
        <f>(K267-(K267*I271))-L267</f>
        <v>29.199999999999989</v>
      </c>
      <c r="K267" s="39">
        <f>444.8</f>
        <v>444.8</v>
      </c>
      <c r="L267" s="21">
        <f>415.6</f>
        <v>415.6</v>
      </c>
      <c r="M267" s="21">
        <f>415.6</f>
        <v>415.6</v>
      </c>
      <c r="N267" s="21">
        <f t="shared" si="24"/>
        <v>0</v>
      </c>
      <c r="O267" s="23">
        <f>(G267-(G267*I271))-L267</f>
        <v>34.399999999999977</v>
      </c>
      <c r="P267" s="175"/>
    </row>
    <row r="268" spans="1:16" ht="36.75" customHeight="1" thickTop="1" thickBot="1" x14ac:dyDescent="0.35">
      <c r="A268" s="7" t="str">
        <f t="shared" si="23"/>
        <v>تسليم</v>
      </c>
      <c r="B268" s="180"/>
      <c r="C268" s="181"/>
      <c r="D268" s="10" t="s">
        <v>86</v>
      </c>
      <c r="E268" s="7" t="s">
        <v>147</v>
      </c>
      <c r="F268" s="6" t="s">
        <v>116</v>
      </c>
      <c r="G268" s="31">
        <v>250</v>
      </c>
      <c r="H268" s="6" t="s">
        <v>128</v>
      </c>
      <c r="I268" s="6" t="s">
        <v>148</v>
      </c>
      <c r="J268" s="38">
        <f>(K268-(K268*I271))-L268</f>
        <v>19.800000000000011</v>
      </c>
      <c r="K268" s="39">
        <f>259.8</f>
        <v>259.8</v>
      </c>
      <c r="L268" s="21">
        <f>240</f>
        <v>240</v>
      </c>
      <c r="M268" s="21">
        <f>240</f>
        <v>240</v>
      </c>
      <c r="N268" s="21">
        <f t="shared" si="24"/>
        <v>0</v>
      </c>
      <c r="O268" s="23">
        <f>(G268-(G268*I271))-L268</f>
        <v>10</v>
      </c>
      <c r="P268" s="175"/>
    </row>
    <row r="269" spans="1:16" ht="36.75" customHeight="1" thickTop="1" thickBot="1" x14ac:dyDescent="0.35">
      <c r="A269" s="7" t="str">
        <f t="shared" si="23"/>
        <v>تسليم</v>
      </c>
      <c r="B269" s="180"/>
      <c r="C269" s="181"/>
      <c r="D269" s="10" t="s">
        <v>141</v>
      </c>
      <c r="E269" s="7" t="s">
        <v>147</v>
      </c>
      <c r="F269" s="6" t="s">
        <v>116</v>
      </c>
      <c r="G269" s="31">
        <v>1400</v>
      </c>
      <c r="H269" s="6" t="s">
        <v>130</v>
      </c>
      <c r="I269" s="6" t="s">
        <v>148</v>
      </c>
      <c r="J269" s="38">
        <f>(K269-(K269*I271))-L269</f>
        <v>-199.60000000000014</v>
      </c>
      <c r="K269" s="39">
        <f>534.1+883</f>
        <v>1417.1</v>
      </c>
      <c r="L269" s="21">
        <f>411+821.7+384</f>
        <v>1616.7</v>
      </c>
      <c r="M269" s="21">
        <f>411+821.7</f>
        <v>1232.7</v>
      </c>
      <c r="N269" s="21">
        <f t="shared" si="24"/>
        <v>384</v>
      </c>
      <c r="O269" s="23">
        <f>(G269-(G269*I271))-L269</f>
        <v>-216.70000000000005</v>
      </c>
      <c r="P269" s="175"/>
    </row>
    <row r="270" spans="1:16" ht="36.75" customHeight="1" thickTop="1" thickBot="1" x14ac:dyDescent="0.35">
      <c r="A270" s="7" t="str">
        <f t="shared" si="23"/>
        <v>تسليم</v>
      </c>
      <c r="B270" s="9"/>
      <c r="C270" s="49"/>
      <c r="D270" s="10" t="s">
        <v>7</v>
      </c>
      <c r="E270" s="7" t="s">
        <v>149</v>
      </c>
      <c r="F270" s="6" t="s">
        <v>116</v>
      </c>
      <c r="G270" s="31">
        <v>185</v>
      </c>
      <c r="H270" s="6" t="s">
        <v>145</v>
      </c>
      <c r="I270" s="6" t="s">
        <v>146</v>
      </c>
      <c r="J270" s="38">
        <f>(K270-(K270*I271))-L270</f>
        <v>-121.79999999999995</v>
      </c>
      <c r="K270" s="39">
        <v>185.5</v>
      </c>
      <c r="L270" s="21">
        <f>92.6+26.9+42.6+21.1+39.6+54+30.5</f>
        <v>307.29999999999995</v>
      </c>
      <c r="M270" s="21">
        <f>92.6+26.9+42.6+21.1+39.6+54+30+0.384</f>
        <v>307.18399999999997</v>
      </c>
      <c r="N270" s="21">
        <f t="shared" si="24"/>
        <v>0.11599999999998545</v>
      </c>
      <c r="O270" s="23">
        <f>(G270-(G270*I271))-L270</f>
        <v>-122.29999999999995</v>
      </c>
      <c r="P270" s="175"/>
    </row>
    <row r="271" spans="1:16" ht="36.75" customHeight="1" thickTop="1" thickBot="1" x14ac:dyDescent="0.35">
      <c r="A271" s="7" t="str">
        <f>A270</f>
        <v>تسليم</v>
      </c>
      <c r="B271" s="179" t="s">
        <v>29</v>
      </c>
      <c r="C271" s="179"/>
      <c r="D271" s="179"/>
      <c r="E271" s="179"/>
      <c r="F271" s="179"/>
      <c r="G271" s="6">
        <f>SUBTOTAL(9,G263:G270)</f>
        <v>3225</v>
      </c>
      <c r="H271" s="2" t="s">
        <v>30</v>
      </c>
      <c r="I271" s="3">
        <v>0</v>
      </c>
      <c r="J271" s="25"/>
      <c r="K271" s="29"/>
      <c r="L271" s="21">
        <f>SUM(L263:L269)</f>
        <v>3141.1000000000004</v>
      </c>
      <c r="M271" s="21">
        <f>SUBTOTAL(9,M263:M269)</f>
        <v>2422.1000000000004</v>
      </c>
      <c r="N271" s="21">
        <f t="shared" si="24"/>
        <v>719</v>
      </c>
      <c r="O271" s="23">
        <f>SUM(O263:O269)</f>
        <v>-101.10000000000008</v>
      </c>
      <c r="P271" s="175"/>
    </row>
    <row r="272" spans="1:16" ht="36.75" customHeight="1" thickTop="1" thickBot="1" x14ac:dyDescent="0.35">
      <c r="A272" s="90" t="s">
        <v>48</v>
      </c>
      <c r="B272" s="90" t="s">
        <v>0</v>
      </c>
      <c r="C272" s="90" t="s">
        <v>1</v>
      </c>
      <c r="D272" s="91" t="s">
        <v>2</v>
      </c>
      <c r="E272" s="90" t="s">
        <v>3</v>
      </c>
      <c r="F272" s="90" t="s">
        <v>11</v>
      </c>
      <c r="G272" s="90" t="s">
        <v>4</v>
      </c>
      <c r="H272" s="90" t="s">
        <v>15</v>
      </c>
      <c r="I272" s="90" t="s">
        <v>16</v>
      </c>
      <c r="J272" s="90" t="s">
        <v>56</v>
      </c>
      <c r="K272" s="90" t="s">
        <v>12</v>
      </c>
      <c r="L272" s="90" t="s">
        <v>13</v>
      </c>
      <c r="M272" s="90" t="s">
        <v>101</v>
      </c>
      <c r="N272" s="90" t="s">
        <v>100</v>
      </c>
      <c r="O272" s="90" t="s">
        <v>102</v>
      </c>
      <c r="P272" s="90" t="s">
        <v>5</v>
      </c>
    </row>
    <row r="273" spans="1:16" ht="36.75" customHeight="1" thickTop="1" thickBot="1" x14ac:dyDescent="0.35">
      <c r="A273" s="7" t="str">
        <f>A272</f>
        <v>تسليم</v>
      </c>
      <c r="B273" s="164">
        <v>45966</v>
      </c>
      <c r="C273" s="166" t="s">
        <v>151</v>
      </c>
      <c r="D273" s="168" t="s">
        <v>47</v>
      </c>
      <c r="E273" s="7" t="s">
        <v>51</v>
      </c>
      <c r="F273" s="6" t="s">
        <v>39</v>
      </c>
      <c r="G273" s="7">
        <v>500</v>
      </c>
      <c r="H273" s="6" t="s">
        <v>18</v>
      </c>
      <c r="I273" s="6" t="s">
        <v>75</v>
      </c>
      <c r="J273" s="154">
        <f>(K273-(K273*I288))-L288</f>
        <v>981.34999999999945</v>
      </c>
      <c r="K273" s="156">
        <f>2075+3055.9+3095.4+728.9</f>
        <v>8955.1999999999989</v>
      </c>
      <c r="L273" s="21">
        <f>882.7</f>
        <v>882.7</v>
      </c>
      <c r="M273" s="21">
        <f>882.7</f>
        <v>882.7</v>
      </c>
      <c r="N273" s="21"/>
      <c r="O273" s="23">
        <f>(G273-(G273*I288))-L273</f>
        <v>-382.70000000000005</v>
      </c>
      <c r="P273" s="175" t="s">
        <v>57</v>
      </c>
    </row>
    <row r="274" spans="1:16" ht="36.75" customHeight="1" thickTop="1" thickBot="1" x14ac:dyDescent="0.35">
      <c r="A274" s="7" t="str">
        <f t="shared" ref="A274:A288" si="25">A273</f>
        <v>تسليم</v>
      </c>
      <c r="B274" s="165"/>
      <c r="C274" s="167"/>
      <c r="D274" s="169"/>
      <c r="E274" s="7" t="s">
        <v>95</v>
      </c>
      <c r="F274" s="6" t="s">
        <v>39</v>
      </c>
      <c r="G274" s="7">
        <f>G273*F287</f>
        <v>75</v>
      </c>
      <c r="H274" s="6"/>
      <c r="I274" s="6"/>
      <c r="J274" s="155"/>
      <c r="K274" s="157"/>
      <c r="L274" s="21">
        <f>205</f>
        <v>205</v>
      </c>
      <c r="M274" s="21">
        <f>205</f>
        <v>205</v>
      </c>
      <c r="N274" s="21"/>
      <c r="O274" s="23">
        <f>(G274-(G274*I288))-L274</f>
        <v>-130</v>
      </c>
      <c r="P274" s="175"/>
    </row>
    <row r="275" spans="1:16" ht="36.75" customHeight="1" thickTop="1" thickBot="1" x14ac:dyDescent="0.35">
      <c r="A275" s="7" t="str">
        <f t="shared" si="25"/>
        <v>تسليم</v>
      </c>
      <c r="B275" s="165"/>
      <c r="C275" s="167"/>
      <c r="D275" s="169"/>
      <c r="E275" s="7" t="s">
        <v>51</v>
      </c>
      <c r="F275" s="6" t="s">
        <v>69</v>
      </c>
      <c r="G275" s="7">
        <v>300</v>
      </c>
      <c r="H275" s="6" t="s">
        <v>18</v>
      </c>
      <c r="I275" s="6" t="s">
        <v>75</v>
      </c>
      <c r="J275" s="155"/>
      <c r="K275" s="157"/>
      <c r="L275" s="21"/>
      <c r="M275" s="21"/>
      <c r="N275" s="21"/>
      <c r="O275" s="23">
        <f>(G275-(G275*I288))-L275</f>
        <v>300</v>
      </c>
      <c r="P275" s="175"/>
    </row>
    <row r="276" spans="1:16" ht="36.75" customHeight="1" thickTop="1" thickBot="1" x14ac:dyDescent="0.35">
      <c r="A276" s="7" t="str">
        <f t="shared" si="25"/>
        <v>تسليم</v>
      </c>
      <c r="B276" s="165"/>
      <c r="C276" s="167"/>
      <c r="D276" s="169"/>
      <c r="E276" s="7" t="s">
        <v>95</v>
      </c>
      <c r="F276" s="6" t="s">
        <v>69</v>
      </c>
      <c r="G276" s="7">
        <f>G275*F287</f>
        <v>45</v>
      </c>
      <c r="H276" s="6"/>
      <c r="I276" s="6"/>
      <c r="J276" s="155"/>
      <c r="K276" s="157"/>
      <c r="L276" s="21"/>
      <c r="M276" s="21"/>
      <c r="N276" s="21"/>
      <c r="O276" s="23">
        <f>(G276-(G276*I288))-L276</f>
        <v>45</v>
      </c>
      <c r="P276" s="175"/>
    </row>
    <row r="277" spans="1:16" ht="36.75" customHeight="1" thickTop="1" thickBot="1" x14ac:dyDescent="0.35">
      <c r="A277" s="7" t="str">
        <f t="shared" si="25"/>
        <v>تسليم</v>
      </c>
      <c r="B277" s="165"/>
      <c r="C277" s="167"/>
      <c r="D277" s="169"/>
      <c r="E277" s="7" t="s">
        <v>51</v>
      </c>
      <c r="F277" s="6" t="s">
        <v>17</v>
      </c>
      <c r="G277" s="7">
        <v>300</v>
      </c>
      <c r="H277" s="6" t="s">
        <v>18</v>
      </c>
      <c r="I277" s="6" t="s">
        <v>75</v>
      </c>
      <c r="J277" s="155"/>
      <c r="K277" s="157"/>
      <c r="L277" s="21">
        <f>960.1+310.2+1030.1+568.8+505.25</f>
        <v>3374.45</v>
      </c>
      <c r="M277" s="21">
        <f>960.1+1030.1+568.8+310+505.25</f>
        <v>3374.25</v>
      </c>
      <c r="N277" s="21"/>
      <c r="O277" s="23">
        <f>(G277-(G277*I288))-L277</f>
        <v>-3074.45</v>
      </c>
      <c r="P277" s="175"/>
    </row>
    <row r="278" spans="1:16" ht="36.75" customHeight="1" thickTop="1" thickBot="1" x14ac:dyDescent="0.35">
      <c r="A278" s="7" t="str">
        <f t="shared" si="25"/>
        <v>تسليم</v>
      </c>
      <c r="B278" s="165"/>
      <c r="C278" s="167"/>
      <c r="D278" s="169"/>
      <c r="E278" s="7" t="s">
        <v>95</v>
      </c>
      <c r="F278" s="6" t="s">
        <v>17</v>
      </c>
      <c r="G278" s="7">
        <f>G277*F287</f>
        <v>45</v>
      </c>
      <c r="H278" s="6"/>
      <c r="I278" s="6"/>
      <c r="J278" s="155"/>
      <c r="K278" s="157"/>
      <c r="L278" s="21">
        <f>99.2+302.1+39.2+126.2</f>
        <v>566.70000000000005</v>
      </c>
      <c r="M278" s="21">
        <f>99.2+302.1+39.2+126.2</f>
        <v>566.70000000000005</v>
      </c>
      <c r="N278" s="21"/>
      <c r="O278" s="23">
        <f>(G278-(G278*I288))-L278</f>
        <v>-521.70000000000005</v>
      </c>
      <c r="P278" s="175"/>
    </row>
    <row r="279" spans="1:16" ht="36.75" customHeight="1" thickTop="1" thickBot="1" x14ac:dyDescent="0.35">
      <c r="A279" s="7" t="str">
        <f t="shared" si="25"/>
        <v>تسليم</v>
      </c>
      <c r="B279" s="165"/>
      <c r="C279" s="167"/>
      <c r="D279" s="169"/>
      <c r="E279" s="7" t="s">
        <v>51</v>
      </c>
      <c r="F279" s="6" t="s">
        <v>199</v>
      </c>
      <c r="G279" s="7">
        <v>300</v>
      </c>
      <c r="H279" s="6" t="s">
        <v>18</v>
      </c>
      <c r="I279" s="6" t="s">
        <v>75</v>
      </c>
      <c r="J279" s="155"/>
      <c r="K279" s="157"/>
      <c r="L279" s="21">
        <f>500.55</f>
        <v>500.55</v>
      </c>
      <c r="M279" s="21">
        <f>500.55</f>
        <v>500.55</v>
      </c>
      <c r="N279" s="21"/>
      <c r="O279" s="23">
        <f>(G279-(G279*I288))-L279</f>
        <v>-200.55</v>
      </c>
      <c r="P279" s="175"/>
    </row>
    <row r="280" spans="1:16" ht="36.75" customHeight="1" thickTop="1" thickBot="1" x14ac:dyDescent="0.35">
      <c r="A280" s="7" t="str">
        <f t="shared" si="25"/>
        <v>تسليم</v>
      </c>
      <c r="B280" s="165"/>
      <c r="C280" s="167"/>
      <c r="D280" s="169"/>
      <c r="E280" s="7" t="s">
        <v>95</v>
      </c>
      <c r="F280" s="6" t="s">
        <v>199</v>
      </c>
      <c r="G280" s="7">
        <f>G279*F287</f>
        <v>45</v>
      </c>
      <c r="H280" s="6"/>
      <c r="I280" s="6"/>
      <c r="J280" s="155"/>
      <c r="K280" s="157"/>
      <c r="L280" s="21">
        <f>96.85</f>
        <v>96.85</v>
      </c>
      <c r="M280" s="21">
        <f>96.85</f>
        <v>96.85</v>
      </c>
      <c r="N280" s="21"/>
      <c r="O280" s="23">
        <f>(G280-(G280*I288))-L280</f>
        <v>-51.849999999999994</v>
      </c>
      <c r="P280" s="175"/>
    </row>
    <row r="281" spans="1:16" ht="36.75" customHeight="1" thickTop="1" thickBot="1" x14ac:dyDescent="0.35">
      <c r="A281" s="7" t="str">
        <f t="shared" si="25"/>
        <v>تسليم</v>
      </c>
      <c r="B281" s="165"/>
      <c r="C281" s="167"/>
      <c r="D281" s="169"/>
      <c r="E281" s="7" t="s">
        <v>51</v>
      </c>
      <c r="F281" s="6" t="s">
        <v>54</v>
      </c>
      <c r="G281" s="7">
        <v>3000</v>
      </c>
      <c r="H281" s="6" t="s">
        <v>18</v>
      </c>
      <c r="I281" s="6" t="s">
        <v>75</v>
      </c>
      <c r="J281" s="155"/>
      <c r="K281" s="157"/>
      <c r="L281" s="21">
        <f>407+487</f>
        <v>894</v>
      </c>
      <c r="M281" s="21">
        <f>407+487</f>
        <v>894</v>
      </c>
      <c r="N281" s="21"/>
      <c r="O281" s="23">
        <f>(G281-(G281*I288))-L281</f>
        <v>2106</v>
      </c>
      <c r="P281" s="175"/>
    </row>
    <row r="282" spans="1:16" ht="36.75" customHeight="1" thickTop="1" thickBot="1" x14ac:dyDescent="0.35">
      <c r="A282" s="7" t="str">
        <f t="shared" si="25"/>
        <v>تسليم</v>
      </c>
      <c r="B282" s="165"/>
      <c r="C282" s="167"/>
      <c r="D282" s="169"/>
      <c r="E282" s="7" t="s">
        <v>95</v>
      </c>
      <c r="F282" s="6" t="s">
        <v>54</v>
      </c>
      <c r="G282" s="7">
        <f>G281*F287</f>
        <v>450</v>
      </c>
      <c r="H282" s="6"/>
      <c r="I282" s="6"/>
      <c r="J282" s="155"/>
      <c r="K282" s="157"/>
      <c r="L282" s="21">
        <f>232.2</f>
        <v>232.2</v>
      </c>
      <c r="M282" s="21">
        <f>232.2</f>
        <v>232.2</v>
      </c>
      <c r="N282" s="21"/>
      <c r="O282" s="23">
        <f>(G282-(G282*I288))-L282</f>
        <v>217.8</v>
      </c>
      <c r="P282" s="175"/>
    </row>
    <row r="283" spans="1:16" ht="36.75" customHeight="1" thickTop="1" thickBot="1" x14ac:dyDescent="0.35">
      <c r="A283" s="86" t="str">
        <f t="shared" si="25"/>
        <v>تسليم</v>
      </c>
      <c r="B283" s="165"/>
      <c r="C283" s="167"/>
      <c r="D283" s="169"/>
      <c r="E283" s="77" t="s">
        <v>51</v>
      </c>
      <c r="F283" s="75" t="s">
        <v>197</v>
      </c>
      <c r="G283" s="77">
        <v>300</v>
      </c>
      <c r="H283" s="75" t="s">
        <v>18</v>
      </c>
      <c r="I283" s="75" t="s">
        <v>75</v>
      </c>
      <c r="J283" s="155"/>
      <c r="K283" s="157"/>
      <c r="L283" s="76">
        <f>510.2</f>
        <v>510.2</v>
      </c>
      <c r="M283" s="76">
        <f>510.2</f>
        <v>510.2</v>
      </c>
      <c r="N283" s="76"/>
      <c r="O283" s="78"/>
      <c r="P283" s="175"/>
    </row>
    <row r="284" spans="1:16" ht="36.75" customHeight="1" thickTop="1" thickBot="1" x14ac:dyDescent="0.35">
      <c r="A284" s="86" t="str">
        <f t="shared" si="25"/>
        <v>تسليم</v>
      </c>
      <c r="B284" s="165"/>
      <c r="C284" s="167"/>
      <c r="D284" s="169"/>
      <c r="E284" s="77" t="s">
        <v>95</v>
      </c>
      <c r="F284" s="75" t="s">
        <v>197</v>
      </c>
      <c r="G284" s="77">
        <f>G283*F287</f>
        <v>45</v>
      </c>
      <c r="H284" s="75"/>
      <c r="I284" s="75"/>
      <c r="J284" s="155"/>
      <c r="K284" s="157"/>
      <c r="L284" s="76">
        <v>94.8</v>
      </c>
      <c r="M284" s="76">
        <f>94.8</f>
        <v>94.8</v>
      </c>
      <c r="N284" s="76"/>
      <c r="O284" s="78"/>
      <c r="P284" s="175"/>
    </row>
    <row r="285" spans="1:16" ht="36.75" customHeight="1" thickTop="1" thickBot="1" x14ac:dyDescent="0.35">
      <c r="A285" s="7" t="str">
        <f>A282</f>
        <v>تسليم</v>
      </c>
      <c r="B285" s="165"/>
      <c r="C285" s="167"/>
      <c r="D285" s="169"/>
      <c r="E285" s="7" t="s">
        <v>51</v>
      </c>
      <c r="F285" s="6" t="s">
        <v>20</v>
      </c>
      <c r="G285" s="7">
        <v>300</v>
      </c>
      <c r="H285" s="6" t="s">
        <v>18</v>
      </c>
      <c r="I285" s="6" t="s">
        <v>75</v>
      </c>
      <c r="J285" s="155"/>
      <c r="K285" s="157"/>
      <c r="L285" s="21">
        <f>517.2</f>
        <v>517.20000000000005</v>
      </c>
      <c r="M285" s="21">
        <f>517.2</f>
        <v>517.20000000000005</v>
      </c>
      <c r="N285" s="21"/>
      <c r="O285" s="23">
        <f>(G285-(G285*I288))-L285</f>
        <v>-217.20000000000005</v>
      </c>
      <c r="P285" s="175"/>
    </row>
    <row r="286" spans="1:16" ht="36.75" customHeight="1" thickTop="1" thickBot="1" x14ac:dyDescent="0.35">
      <c r="A286" s="7" t="str">
        <f t="shared" si="25"/>
        <v>تسليم</v>
      </c>
      <c r="B286" s="165"/>
      <c r="C286" s="167"/>
      <c r="D286" s="169"/>
      <c r="E286" s="7" t="s">
        <v>95</v>
      </c>
      <c r="F286" s="6" t="s">
        <v>20</v>
      </c>
      <c r="G286" s="7">
        <f>G285*F287</f>
        <v>45</v>
      </c>
      <c r="H286" s="6"/>
      <c r="I286" s="6"/>
      <c r="J286" s="173"/>
      <c r="K286" s="174"/>
      <c r="L286" s="21">
        <f>99.2</f>
        <v>99.2</v>
      </c>
      <c r="M286" s="21">
        <f>99.2</f>
        <v>99.2</v>
      </c>
      <c r="N286" s="21"/>
      <c r="O286" s="23">
        <f>(G286-(G286*I288))-L286</f>
        <v>-54.2</v>
      </c>
      <c r="P286" s="175"/>
    </row>
    <row r="287" spans="1:16" ht="36.75" customHeight="1" thickTop="1" thickBot="1" x14ac:dyDescent="0.35">
      <c r="A287" s="7" t="str">
        <f t="shared" si="25"/>
        <v>تسليم</v>
      </c>
      <c r="B287" s="170"/>
      <c r="C287" s="171"/>
      <c r="D287" s="172"/>
      <c r="E287" s="11" t="s">
        <v>95</v>
      </c>
      <c r="F287" s="15">
        <v>0.15</v>
      </c>
      <c r="G287" s="11">
        <f>G286+G282+G280+G278+G276+G274</f>
        <v>705</v>
      </c>
      <c r="H287" s="12" t="s">
        <v>103</v>
      </c>
      <c r="I287" s="12">
        <f>G288</f>
        <v>4700</v>
      </c>
      <c r="J287" s="22">
        <f>(K287-(K287*I288))-L287</f>
        <v>1558.3</v>
      </c>
      <c r="K287" s="21">
        <f>353+644.5+560.8</f>
        <v>1558.3</v>
      </c>
      <c r="L287" s="21"/>
      <c r="M287" s="21"/>
      <c r="N287" s="21"/>
      <c r="O287" s="23">
        <f>(G287-(G287*I288))-L287</f>
        <v>705</v>
      </c>
      <c r="P287" s="175"/>
    </row>
    <row r="288" spans="1:16" ht="36.75" customHeight="1" thickTop="1" thickBot="1" x14ac:dyDescent="0.35">
      <c r="A288" s="7" t="str">
        <f t="shared" si="25"/>
        <v>تسليم</v>
      </c>
      <c r="B288" s="161" t="s">
        <v>29</v>
      </c>
      <c r="C288" s="162"/>
      <c r="D288" s="162"/>
      <c r="E288" s="162"/>
      <c r="F288" s="163"/>
      <c r="G288" s="6">
        <f>G285+G281+G279+G277+G275+G273</f>
        <v>4700</v>
      </c>
      <c r="H288" s="2" t="s">
        <v>30</v>
      </c>
      <c r="I288" s="3">
        <v>0</v>
      </c>
      <c r="J288" s="22"/>
      <c r="K288" s="21"/>
      <c r="L288" s="21">
        <f>SUM(L273:L286)</f>
        <v>7973.8499999999995</v>
      </c>
      <c r="M288" s="21"/>
      <c r="N288" s="21"/>
      <c r="O288" s="23">
        <f>SUM(O273:O287)</f>
        <v>-1258.8499999999997</v>
      </c>
      <c r="P288" s="175"/>
    </row>
    <row r="289" spans="1:16" ht="36.75" customHeight="1" thickTop="1" thickBot="1" x14ac:dyDescent="0.35">
      <c r="A289" s="90" t="s">
        <v>48</v>
      </c>
      <c r="B289" s="90" t="s">
        <v>0</v>
      </c>
      <c r="C289" s="90" t="s">
        <v>1</v>
      </c>
      <c r="D289" s="91" t="s">
        <v>2</v>
      </c>
      <c r="E289" s="90" t="s">
        <v>3</v>
      </c>
      <c r="F289" s="90" t="s">
        <v>11</v>
      </c>
      <c r="G289" s="90" t="s">
        <v>4</v>
      </c>
      <c r="H289" s="90" t="s">
        <v>15</v>
      </c>
      <c r="I289" s="90" t="s">
        <v>16</v>
      </c>
      <c r="J289" s="90" t="s">
        <v>56</v>
      </c>
      <c r="K289" s="90" t="s">
        <v>12</v>
      </c>
      <c r="L289" s="90" t="s">
        <v>13</v>
      </c>
      <c r="M289" s="90" t="s">
        <v>101</v>
      </c>
      <c r="N289" s="90" t="s">
        <v>100</v>
      </c>
      <c r="O289" s="90" t="s">
        <v>102</v>
      </c>
      <c r="P289" s="90" t="s">
        <v>5</v>
      </c>
    </row>
    <row r="290" spans="1:16" ht="36.75" customHeight="1" thickTop="1" thickBot="1" x14ac:dyDescent="0.35">
      <c r="A290" s="57" t="str">
        <f>A289</f>
        <v>تسليم</v>
      </c>
      <c r="B290" s="164" t="s">
        <v>153</v>
      </c>
      <c r="C290" s="166" t="s">
        <v>152</v>
      </c>
      <c r="D290" s="168" t="s">
        <v>47</v>
      </c>
      <c r="E290" s="57" t="s">
        <v>51</v>
      </c>
      <c r="F290" s="54" t="s">
        <v>39</v>
      </c>
      <c r="G290" s="57">
        <v>180</v>
      </c>
      <c r="H290" s="54" t="s">
        <v>18</v>
      </c>
      <c r="I290" s="54" t="s">
        <v>75</v>
      </c>
      <c r="J290" s="154">
        <f>(K290-(K290*I305))-L305</f>
        <v>-1671</v>
      </c>
      <c r="K290" s="156"/>
      <c r="L290" s="53">
        <f>188.8</f>
        <v>188.8</v>
      </c>
      <c r="M290" s="53">
        <f>188.8</f>
        <v>188.8</v>
      </c>
      <c r="N290" s="53"/>
      <c r="O290" s="58">
        <f>(G290-(G290*I305))-L290</f>
        <v>-8.8000000000000114</v>
      </c>
      <c r="P290" s="175" t="s">
        <v>57</v>
      </c>
    </row>
    <row r="291" spans="1:16" ht="36.75" customHeight="1" thickTop="1" thickBot="1" x14ac:dyDescent="0.35">
      <c r="A291" s="57" t="str">
        <f t="shared" ref="A291:A305" si="26">A290</f>
        <v>تسليم</v>
      </c>
      <c r="B291" s="165"/>
      <c r="C291" s="167"/>
      <c r="D291" s="169"/>
      <c r="E291" s="57" t="s">
        <v>95</v>
      </c>
      <c r="F291" s="54" t="s">
        <v>39</v>
      </c>
      <c r="G291" s="57">
        <f>G290*F304</f>
        <v>27</v>
      </c>
      <c r="H291" s="54"/>
      <c r="I291" s="54"/>
      <c r="J291" s="155"/>
      <c r="K291" s="157"/>
      <c r="L291" s="53">
        <f>31</f>
        <v>31</v>
      </c>
      <c r="M291" s="53">
        <f>31</f>
        <v>31</v>
      </c>
      <c r="N291" s="53"/>
      <c r="O291" s="58">
        <f>(G291-(G291*I305))-L291</f>
        <v>-4</v>
      </c>
      <c r="P291" s="175"/>
    </row>
    <row r="292" spans="1:16" ht="36.75" customHeight="1" thickTop="1" thickBot="1" x14ac:dyDescent="0.35">
      <c r="A292" s="57" t="str">
        <f t="shared" si="26"/>
        <v>تسليم</v>
      </c>
      <c r="B292" s="165"/>
      <c r="C292" s="167"/>
      <c r="D292" s="169"/>
      <c r="E292" s="57" t="s">
        <v>51</v>
      </c>
      <c r="F292" s="54" t="s">
        <v>52</v>
      </c>
      <c r="G292" s="57">
        <v>180</v>
      </c>
      <c r="H292" s="54" t="s">
        <v>18</v>
      </c>
      <c r="I292" s="54" t="s">
        <v>75</v>
      </c>
      <c r="J292" s="155"/>
      <c r="K292" s="157"/>
      <c r="L292" s="53">
        <f>96.2+90</f>
        <v>186.2</v>
      </c>
      <c r="M292" s="53">
        <f>96.2+90</f>
        <v>186.2</v>
      </c>
      <c r="N292" s="53"/>
      <c r="O292" s="58">
        <f>(G292-(G292*I305))-L292</f>
        <v>-6.1999999999999886</v>
      </c>
      <c r="P292" s="175"/>
    </row>
    <row r="293" spans="1:16" ht="36.75" customHeight="1" thickTop="1" thickBot="1" x14ac:dyDescent="0.35">
      <c r="A293" s="57" t="str">
        <f t="shared" si="26"/>
        <v>تسليم</v>
      </c>
      <c r="B293" s="165"/>
      <c r="C293" s="167"/>
      <c r="D293" s="169"/>
      <c r="E293" s="57" t="s">
        <v>95</v>
      </c>
      <c r="F293" s="54" t="s">
        <v>52</v>
      </c>
      <c r="G293" s="57">
        <f>G292*F304</f>
        <v>27</v>
      </c>
      <c r="H293" s="54"/>
      <c r="I293" s="54"/>
      <c r="J293" s="155"/>
      <c r="K293" s="157"/>
      <c r="L293" s="53">
        <f>18+13.2</f>
        <v>31.2</v>
      </c>
      <c r="M293" s="53">
        <f>18+13.2</f>
        <v>31.2</v>
      </c>
      <c r="N293" s="53"/>
      <c r="O293" s="58">
        <f>(G293-(G293*I305))-L293</f>
        <v>-4.1999999999999993</v>
      </c>
      <c r="P293" s="175"/>
    </row>
    <row r="294" spans="1:16" ht="36.75" customHeight="1" thickTop="1" thickBot="1" x14ac:dyDescent="0.35">
      <c r="A294" s="57" t="str">
        <f t="shared" si="26"/>
        <v>تسليم</v>
      </c>
      <c r="B294" s="165"/>
      <c r="C294" s="167"/>
      <c r="D294" s="169"/>
      <c r="E294" s="57" t="s">
        <v>51</v>
      </c>
      <c r="F294" s="54" t="s">
        <v>17</v>
      </c>
      <c r="G294" s="57">
        <v>180</v>
      </c>
      <c r="H294" s="54" t="s">
        <v>18</v>
      </c>
      <c r="I294" s="54" t="s">
        <v>75</v>
      </c>
      <c r="J294" s="155"/>
      <c r="K294" s="157"/>
      <c r="L294" s="53">
        <f>98.9+86.2</f>
        <v>185.10000000000002</v>
      </c>
      <c r="M294" s="53">
        <f>98.9+86.2</f>
        <v>185.10000000000002</v>
      </c>
      <c r="N294" s="53"/>
      <c r="O294" s="58">
        <f>(G294-(G294*I305))-L294</f>
        <v>-5.1000000000000227</v>
      </c>
      <c r="P294" s="175"/>
    </row>
    <row r="295" spans="1:16" ht="36.75" customHeight="1" thickTop="1" thickBot="1" x14ac:dyDescent="0.35">
      <c r="A295" s="57" t="str">
        <f t="shared" si="26"/>
        <v>تسليم</v>
      </c>
      <c r="B295" s="165"/>
      <c r="C295" s="167"/>
      <c r="D295" s="169"/>
      <c r="E295" s="57" t="s">
        <v>95</v>
      </c>
      <c r="F295" s="54" t="s">
        <v>17</v>
      </c>
      <c r="G295" s="57">
        <f>G294*F304</f>
        <v>27</v>
      </c>
      <c r="H295" s="54"/>
      <c r="I295" s="54"/>
      <c r="J295" s="155"/>
      <c r="K295" s="157"/>
      <c r="L295" s="53">
        <f>19+15</f>
        <v>34</v>
      </c>
      <c r="M295" s="53">
        <f>19+15</f>
        <v>34</v>
      </c>
      <c r="N295" s="53"/>
      <c r="O295" s="58">
        <f>(G295-(G295*I305))-L295</f>
        <v>-7</v>
      </c>
      <c r="P295" s="175"/>
    </row>
    <row r="296" spans="1:16" ht="36.75" customHeight="1" thickTop="1" thickBot="1" x14ac:dyDescent="0.35">
      <c r="A296" s="57" t="str">
        <f t="shared" si="26"/>
        <v>تسليم</v>
      </c>
      <c r="B296" s="165"/>
      <c r="C296" s="167"/>
      <c r="D296" s="169"/>
      <c r="E296" s="57" t="s">
        <v>51</v>
      </c>
      <c r="F296" s="54" t="s">
        <v>53</v>
      </c>
      <c r="G296" s="57">
        <v>180</v>
      </c>
      <c r="H296" s="54" t="s">
        <v>18</v>
      </c>
      <c r="I296" s="54" t="s">
        <v>75</v>
      </c>
      <c r="J296" s="155"/>
      <c r="K296" s="157"/>
      <c r="L296" s="53">
        <f>154.9</f>
        <v>154.9</v>
      </c>
      <c r="M296" s="53">
        <f>154.9</f>
        <v>154.9</v>
      </c>
      <c r="N296" s="53"/>
      <c r="O296" s="58">
        <f>(G296-(G296*I305))-L296</f>
        <v>25.099999999999994</v>
      </c>
      <c r="P296" s="175"/>
    </row>
    <row r="297" spans="1:16" ht="36.75" customHeight="1" thickTop="1" thickBot="1" x14ac:dyDescent="0.35">
      <c r="A297" s="57" t="str">
        <f t="shared" si="26"/>
        <v>تسليم</v>
      </c>
      <c r="B297" s="165"/>
      <c r="C297" s="167"/>
      <c r="D297" s="169"/>
      <c r="E297" s="57" t="s">
        <v>95</v>
      </c>
      <c r="F297" s="54" t="s">
        <v>53</v>
      </c>
      <c r="G297" s="57">
        <f>G296*F304</f>
        <v>27</v>
      </c>
      <c r="H297" s="54"/>
      <c r="I297" s="54"/>
      <c r="J297" s="155"/>
      <c r="K297" s="157"/>
      <c r="L297" s="53">
        <f>29</f>
        <v>29</v>
      </c>
      <c r="M297" s="53">
        <f>29</f>
        <v>29</v>
      </c>
      <c r="N297" s="53"/>
      <c r="O297" s="58">
        <f>(G297-(G297*I305))-L297</f>
        <v>-2</v>
      </c>
      <c r="P297" s="175"/>
    </row>
    <row r="298" spans="1:16" ht="36.75" customHeight="1" thickTop="1" thickBot="1" x14ac:dyDescent="0.35">
      <c r="A298" s="57" t="str">
        <f t="shared" si="26"/>
        <v>تسليم</v>
      </c>
      <c r="B298" s="165"/>
      <c r="C298" s="167"/>
      <c r="D298" s="169"/>
      <c r="E298" s="57" t="s">
        <v>51</v>
      </c>
      <c r="F298" s="54" t="s">
        <v>134</v>
      </c>
      <c r="G298" s="57">
        <v>180</v>
      </c>
      <c r="H298" s="54" t="s">
        <v>18</v>
      </c>
      <c r="I298" s="54" t="s">
        <v>75</v>
      </c>
      <c r="J298" s="155"/>
      <c r="K298" s="157"/>
      <c r="L298" s="53">
        <f>182</f>
        <v>182</v>
      </c>
      <c r="M298" s="53">
        <f>182</f>
        <v>182</v>
      </c>
      <c r="N298" s="53"/>
      <c r="O298" s="58">
        <f>(G298-(G298*I305))-L298</f>
        <v>-2</v>
      </c>
      <c r="P298" s="175"/>
    </row>
    <row r="299" spans="1:16" ht="36.75" customHeight="1" thickTop="1" thickBot="1" x14ac:dyDescent="0.35">
      <c r="A299" s="57" t="str">
        <f t="shared" si="26"/>
        <v>تسليم</v>
      </c>
      <c r="B299" s="165"/>
      <c r="C299" s="167"/>
      <c r="D299" s="169"/>
      <c r="E299" s="57" t="s">
        <v>95</v>
      </c>
      <c r="F299" s="54" t="s">
        <v>134</v>
      </c>
      <c r="G299" s="57">
        <f>G298*F304</f>
        <v>27</v>
      </c>
      <c r="H299" s="54"/>
      <c r="I299" s="54"/>
      <c r="J299" s="155"/>
      <c r="K299" s="157"/>
      <c r="L299" s="53">
        <f>30.4</f>
        <v>30.4</v>
      </c>
      <c r="M299" s="53">
        <f>30.4</f>
        <v>30.4</v>
      </c>
      <c r="N299" s="53"/>
      <c r="O299" s="58">
        <f>(G299-(G299*I305))-L299</f>
        <v>-3.3999999999999986</v>
      </c>
      <c r="P299" s="175"/>
    </row>
    <row r="300" spans="1:16" ht="36.75" customHeight="1" thickTop="1" thickBot="1" x14ac:dyDescent="0.35">
      <c r="A300" s="57" t="s">
        <v>48</v>
      </c>
      <c r="B300" s="165"/>
      <c r="C300" s="167"/>
      <c r="D300" s="169"/>
      <c r="E300" s="57" t="s">
        <v>95</v>
      </c>
      <c r="F300" s="54" t="s">
        <v>70</v>
      </c>
      <c r="G300" s="57">
        <v>180</v>
      </c>
      <c r="H300" s="54" t="s">
        <v>18</v>
      </c>
      <c r="I300" s="54" t="s">
        <v>75</v>
      </c>
      <c r="J300" s="155"/>
      <c r="K300" s="157"/>
      <c r="L300" s="53">
        <f>86+95.1+183.7</f>
        <v>364.79999999999995</v>
      </c>
      <c r="M300" s="53">
        <f>86+95.1+183.7</f>
        <v>364.79999999999995</v>
      </c>
      <c r="N300" s="53"/>
      <c r="O300" s="58"/>
      <c r="P300" s="175"/>
    </row>
    <row r="301" spans="1:16" ht="36.75" customHeight="1" thickTop="1" thickBot="1" x14ac:dyDescent="0.35">
      <c r="A301" s="57" t="s">
        <v>48</v>
      </c>
      <c r="B301" s="165"/>
      <c r="C301" s="167"/>
      <c r="D301" s="169"/>
      <c r="E301" s="57" t="s">
        <v>95</v>
      </c>
      <c r="F301" s="54" t="s">
        <v>70</v>
      </c>
      <c r="G301" s="57">
        <f>G300*F304</f>
        <v>27</v>
      </c>
      <c r="H301" s="54"/>
      <c r="I301" s="54"/>
      <c r="J301" s="155"/>
      <c r="K301" s="157"/>
      <c r="L301" s="53">
        <f>16.4+21.1+32.4</f>
        <v>69.900000000000006</v>
      </c>
      <c r="M301" s="53">
        <f>16.4+21.1+32.4</f>
        <v>69.900000000000006</v>
      </c>
      <c r="N301" s="53"/>
      <c r="O301" s="58"/>
      <c r="P301" s="175"/>
    </row>
    <row r="302" spans="1:16" ht="36.75" customHeight="1" thickTop="1" thickBot="1" x14ac:dyDescent="0.35">
      <c r="A302" s="57" t="str">
        <f>A299</f>
        <v>تسليم</v>
      </c>
      <c r="B302" s="165"/>
      <c r="C302" s="167"/>
      <c r="D302" s="169"/>
      <c r="E302" s="57" t="s">
        <v>51</v>
      </c>
      <c r="F302" s="54" t="s">
        <v>154</v>
      </c>
      <c r="G302" s="57">
        <v>180</v>
      </c>
      <c r="H302" s="54" t="s">
        <v>18</v>
      </c>
      <c r="I302" s="54" t="s">
        <v>75</v>
      </c>
      <c r="J302" s="155"/>
      <c r="K302" s="157"/>
      <c r="L302" s="53">
        <f>183.7</f>
        <v>183.7</v>
      </c>
      <c r="M302" s="53">
        <f>183.7</f>
        <v>183.7</v>
      </c>
      <c r="N302" s="53"/>
      <c r="O302" s="58">
        <f>(G302-(G302*I305))-L302</f>
        <v>-3.6999999999999886</v>
      </c>
      <c r="P302" s="175"/>
    </row>
    <row r="303" spans="1:16" ht="36.75" customHeight="1" thickTop="1" thickBot="1" x14ac:dyDescent="0.35">
      <c r="A303" s="57" t="str">
        <f t="shared" si="26"/>
        <v>تسليم</v>
      </c>
      <c r="B303" s="165"/>
      <c r="C303" s="167"/>
      <c r="D303" s="169"/>
      <c r="E303" s="57" t="s">
        <v>95</v>
      </c>
      <c r="F303" s="54" t="s">
        <v>122</v>
      </c>
      <c r="G303" s="57">
        <f>G302*F304</f>
        <v>27</v>
      </c>
      <c r="H303" s="54"/>
      <c r="I303" s="54"/>
      <c r="J303" s="173"/>
      <c r="K303" s="174"/>
      <c r="L303" s="53"/>
      <c r="M303" s="53"/>
      <c r="N303" s="53"/>
      <c r="O303" s="58">
        <f>(G303-(G303*I305))-L303</f>
        <v>27</v>
      </c>
      <c r="P303" s="175"/>
    </row>
    <row r="304" spans="1:16" ht="36.75" customHeight="1" thickTop="1" thickBot="1" x14ac:dyDescent="0.35">
      <c r="A304" s="57" t="str">
        <f t="shared" si="26"/>
        <v>تسليم</v>
      </c>
      <c r="B304" s="170"/>
      <c r="C304" s="171"/>
      <c r="D304" s="172"/>
      <c r="E304" s="56" t="s">
        <v>95</v>
      </c>
      <c r="F304" s="15">
        <v>0.15</v>
      </c>
      <c r="G304" s="56">
        <f>G303+G299+G297+G295+G293+G291+G301</f>
        <v>189</v>
      </c>
      <c r="H304" s="55" t="s">
        <v>103</v>
      </c>
      <c r="I304" s="55">
        <f>G305</f>
        <v>1260</v>
      </c>
      <c r="J304" s="52">
        <f>(K304-(K304*I305))-L304</f>
        <v>997.5</v>
      </c>
      <c r="K304" s="53">
        <f>353+644.5</f>
        <v>997.5</v>
      </c>
      <c r="L304" s="53"/>
      <c r="M304" s="53"/>
      <c r="N304" s="53"/>
      <c r="O304" s="58">
        <f>(G304-(G304*I305))-L304</f>
        <v>189</v>
      </c>
      <c r="P304" s="175"/>
    </row>
    <row r="305" spans="1:16" ht="36.75" customHeight="1" thickTop="1" thickBot="1" x14ac:dyDescent="0.35">
      <c r="A305" s="57" t="str">
        <f t="shared" si="26"/>
        <v>تسليم</v>
      </c>
      <c r="B305" s="161" t="s">
        <v>29</v>
      </c>
      <c r="C305" s="162"/>
      <c r="D305" s="162"/>
      <c r="E305" s="162"/>
      <c r="F305" s="163"/>
      <c r="G305" s="54">
        <f>G302+G298+G296+G294+G292+G290+G300</f>
        <v>1260</v>
      </c>
      <c r="H305" s="2" t="s">
        <v>30</v>
      </c>
      <c r="I305" s="3">
        <v>0</v>
      </c>
      <c r="J305" s="52"/>
      <c r="K305" s="53"/>
      <c r="L305" s="53">
        <f>SUM(L290:L303)</f>
        <v>1671</v>
      </c>
      <c r="M305" s="53"/>
      <c r="N305" s="53"/>
      <c r="O305" s="58">
        <f>SUM(O290:O304)</f>
        <v>194.7</v>
      </c>
      <c r="P305" s="175"/>
    </row>
    <row r="306" spans="1:16" ht="36.75" customHeight="1" thickTop="1" thickBot="1" x14ac:dyDescent="0.35">
      <c r="A306" s="90" t="s">
        <v>32</v>
      </c>
      <c r="B306" s="90" t="s">
        <v>0</v>
      </c>
      <c r="C306" s="90" t="s">
        <v>1</v>
      </c>
      <c r="D306" s="91" t="s">
        <v>2</v>
      </c>
      <c r="E306" s="90" t="s">
        <v>3</v>
      </c>
      <c r="F306" s="90" t="s">
        <v>11</v>
      </c>
      <c r="G306" s="90" t="s">
        <v>4</v>
      </c>
      <c r="H306" s="90" t="s">
        <v>15</v>
      </c>
      <c r="I306" s="90" t="s">
        <v>16</v>
      </c>
      <c r="J306" s="90" t="s">
        <v>56</v>
      </c>
      <c r="K306" s="90" t="s">
        <v>12</v>
      </c>
      <c r="L306" s="90" t="s">
        <v>13</v>
      </c>
      <c r="M306" s="90" t="s">
        <v>101</v>
      </c>
      <c r="N306" s="90" t="s">
        <v>100</v>
      </c>
      <c r="O306" s="90" t="s">
        <v>102</v>
      </c>
      <c r="P306" s="90" t="s">
        <v>5</v>
      </c>
    </row>
    <row r="307" spans="1:16" ht="36.75" customHeight="1" thickTop="1" thickBot="1" x14ac:dyDescent="0.35">
      <c r="A307" s="57" t="str">
        <f>A306</f>
        <v>صباغة</v>
      </c>
      <c r="B307" s="164" t="s">
        <v>153</v>
      </c>
      <c r="C307" s="166" t="s">
        <v>155</v>
      </c>
      <c r="D307" s="168" t="s">
        <v>47</v>
      </c>
      <c r="E307" s="57" t="s">
        <v>156</v>
      </c>
      <c r="F307" s="54" t="s">
        <v>117</v>
      </c>
      <c r="G307" s="57">
        <f>75*2</f>
        <v>150</v>
      </c>
      <c r="H307" s="54" t="s">
        <v>18</v>
      </c>
      <c r="I307" s="54" t="s">
        <v>75</v>
      </c>
      <c r="J307" s="154">
        <f>(K307-(K307*I320))-L320</f>
        <v>1024.8</v>
      </c>
      <c r="K307" s="156">
        <f>1024.8</f>
        <v>1024.8</v>
      </c>
      <c r="L307" s="53"/>
      <c r="M307" s="53"/>
      <c r="N307" s="129">
        <f t="shared" ref="N307:N320" si="27">L307-M307</f>
        <v>0</v>
      </c>
      <c r="O307" s="58">
        <f>(G307-(G307*I320))-L307</f>
        <v>150</v>
      </c>
      <c r="P307" s="175" t="s">
        <v>57</v>
      </c>
    </row>
    <row r="308" spans="1:16" ht="36.75" customHeight="1" thickTop="1" thickBot="1" x14ac:dyDescent="0.35">
      <c r="A308" s="57" t="str">
        <f t="shared" ref="A308:A320" si="28">A307</f>
        <v>صباغة</v>
      </c>
      <c r="B308" s="165"/>
      <c r="C308" s="167"/>
      <c r="D308" s="169"/>
      <c r="E308" s="57" t="s">
        <v>78</v>
      </c>
      <c r="F308" s="54" t="s">
        <v>117</v>
      </c>
      <c r="G308" s="57">
        <f>G307*F319</f>
        <v>15</v>
      </c>
      <c r="H308" s="54"/>
      <c r="I308" s="54"/>
      <c r="J308" s="155"/>
      <c r="K308" s="157"/>
      <c r="L308" s="53"/>
      <c r="M308" s="53"/>
      <c r="N308" s="129">
        <f t="shared" si="27"/>
        <v>0</v>
      </c>
      <c r="O308" s="58">
        <f>(G308-(G308*I320))-L308</f>
        <v>15</v>
      </c>
      <c r="P308" s="175"/>
    </row>
    <row r="309" spans="1:16" ht="36.75" customHeight="1" thickTop="1" thickBot="1" x14ac:dyDescent="0.35">
      <c r="A309" s="57" t="str">
        <f t="shared" si="28"/>
        <v>صباغة</v>
      </c>
      <c r="B309" s="165"/>
      <c r="C309" s="167"/>
      <c r="D309" s="169"/>
      <c r="E309" s="57" t="s">
        <v>156</v>
      </c>
      <c r="F309" s="54" t="s">
        <v>157</v>
      </c>
      <c r="G309" s="115">
        <f>75*2</f>
        <v>150</v>
      </c>
      <c r="H309" s="54" t="s">
        <v>18</v>
      </c>
      <c r="I309" s="54" t="s">
        <v>75</v>
      </c>
      <c r="J309" s="155"/>
      <c r="K309" s="157"/>
      <c r="L309" s="53"/>
      <c r="M309" s="53"/>
      <c r="N309" s="129">
        <f t="shared" si="27"/>
        <v>0</v>
      </c>
      <c r="O309" s="58">
        <f>(G309-(G309*I320))-L309</f>
        <v>150</v>
      </c>
      <c r="P309" s="175"/>
    </row>
    <row r="310" spans="1:16" ht="36.75" customHeight="1" thickTop="1" thickBot="1" x14ac:dyDescent="0.35">
      <c r="A310" s="57" t="str">
        <f t="shared" si="28"/>
        <v>صباغة</v>
      </c>
      <c r="B310" s="165"/>
      <c r="C310" s="167"/>
      <c r="D310" s="169"/>
      <c r="E310" s="57" t="s">
        <v>78</v>
      </c>
      <c r="F310" s="54" t="s">
        <v>157</v>
      </c>
      <c r="G310" s="57">
        <f>G309*F319</f>
        <v>15</v>
      </c>
      <c r="H310" s="54"/>
      <c r="I310" s="54"/>
      <c r="J310" s="155"/>
      <c r="K310" s="157"/>
      <c r="L310" s="53"/>
      <c r="M310" s="53"/>
      <c r="N310" s="129">
        <f t="shared" si="27"/>
        <v>0</v>
      </c>
      <c r="O310" s="58">
        <f>(G310-(G310*I320))-L310</f>
        <v>15</v>
      </c>
      <c r="P310" s="175"/>
    </row>
    <row r="311" spans="1:16" ht="36.75" customHeight="1" thickTop="1" thickBot="1" x14ac:dyDescent="0.35">
      <c r="A311" s="57" t="str">
        <f t="shared" si="28"/>
        <v>صباغة</v>
      </c>
      <c r="B311" s="165"/>
      <c r="C311" s="167"/>
      <c r="D311" s="169"/>
      <c r="E311" s="57" t="s">
        <v>156</v>
      </c>
      <c r="F311" s="54" t="s">
        <v>70</v>
      </c>
      <c r="G311" s="115">
        <f>75*2</f>
        <v>150</v>
      </c>
      <c r="H311" s="54" t="s">
        <v>18</v>
      </c>
      <c r="I311" s="54" t="s">
        <v>75</v>
      </c>
      <c r="J311" s="155"/>
      <c r="K311" s="157"/>
      <c r="L311" s="53"/>
      <c r="M311" s="53"/>
      <c r="N311" s="129">
        <f t="shared" si="27"/>
        <v>0</v>
      </c>
      <c r="O311" s="58">
        <f>(G311-(G311*I320))-L311</f>
        <v>150</v>
      </c>
      <c r="P311" s="175"/>
    </row>
    <row r="312" spans="1:16" ht="36.75" customHeight="1" thickTop="1" thickBot="1" x14ac:dyDescent="0.35">
      <c r="A312" s="57" t="str">
        <f t="shared" si="28"/>
        <v>صباغة</v>
      </c>
      <c r="B312" s="165"/>
      <c r="C312" s="167"/>
      <c r="D312" s="169"/>
      <c r="E312" s="57" t="s">
        <v>78</v>
      </c>
      <c r="F312" s="54" t="s">
        <v>70</v>
      </c>
      <c r="G312" s="57">
        <f>G311*F319</f>
        <v>15</v>
      </c>
      <c r="H312" s="54"/>
      <c r="I312" s="54"/>
      <c r="J312" s="155"/>
      <c r="K312" s="157"/>
      <c r="L312" s="53"/>
      <c r="M312" s="53"/>
      <c r="N312" s="129">
        <f t="shared" si="27"/>
        <v>0</v>
      </c>
      <c r="O312" s="58">
        <f>(G312-(G312*I320))-L312</f>
        <v>15</v>
      </c>
      <c r="P312" s="175"/>
    </row>
    <row r="313" spans="1:16" ht="36.75" customHeight="1" thickTop="1" thickBot="1" x14ac:dyDescent="0.35">
      <c r="A313" s="57" t="str">
        <f t="shared" si="28"/>
        <v>صباغة</v>
      </c>
      <c r="B313" s="165"/>
      <c r="C313" s="167"/>
      <c r="D313" s="169"/>
      <c r="E313" s="57" t="s">
        <v>156</v>
      </c>
      <c r="F313" s="54" t="s">
        <v>158</v>
      </c>
      <c r="G313" s="115">
        <f>75*2</f>
        <v>150</v>
      </c>
      <c r="H313" s="54" t="s">
        <v>18</v>
      </c>
      <c r="I313" s="54" t="s">
        <v>75</v>
      </c>
      <c r="J313" s="155"/>
      <c r="K313" s="157"/>
      <c r="L313" s="53"/>
      <c r="M313" s="53"/>
      <c r="N313" s="129">
        <f t="shared" si="27"/>
        <v>0</v>
      </c>
      <c r="O313" s="58">
        <f>(G313-(G313*I320))-L313</f>
        <v>150</v>
      </c>
      <c r="P313" s="175"/>
    </row>
    <row r="314" spans="1:16" ht="36.75" customHeight="1" thickTop="1" thickBot="1" x14ac:dyDescent="0.35">
      <c r="A314" s="57" t="str">
        <f t="shared" si="28"/>
        <v>صباغة</v>
      </c>
      <c r="B314" s="165"/>
      <c r="C314" s="167"/>
      <c r="D314" s="169"/>
      <c r="E314" s="57" t="s">
        <v>78</v>
      </c>
      <c r="F314" s="54" t="s">
        <v>158</v>
      </c>
      <c r="G314" s="57">
        <f>G313*F319</f>
        <v>15</v>
      </c>
      <c r="H314" s="54"/>
      <c r="I314" s="54"/>
      <c r="J314" s="155"/>
      <c r="K314" s="157"/>
      <c r="L314" s="53"/>
      <c r="M314" s="53"/>
      <c r="N314" s="129">
        <f t="shared" si="27"/>
        <v>0</v>
      </c>
      <c r="O314" s="58">
        <f>(G314-(G314*I320))-L314</f>
        <v>15</v>
      </c>
      <c r="P314" s="175"/>
    </row>
    <row r="315" spans="1:16" ht="36.75" customHeight="1" thickTop="1" thickBot="1" x14ac:dyDescent="0.35">
      <c r="A315" s="57" t="str">
        <f t="shared" si="28"/>
        <v>صباغة</v>
      </c>
      <c r="B315" s="165"/>
      <c r="C315" s="167"/>
      <c r="D315" s="169"/>
      <c r="E315" s="57" t="s">
        <v>156</v>
      </c>
      <c r="F315" s="54" t="s">
        <v>159</v>
      </c>
      <c r="G315" s="115">
        <f>75*2</f>
        <v>150</v>
      </c>
      <c r="H315" s="54" t="s">
        <v>18</v>
      </c>
      <c r="I315" s="54" t="s">
        <v>75</v>
      </c>
      <c r="J315" s="155"/>
      <c r="K315" s="157"/>
      <c r="L315" s="53"/>
      <c r="M315" s="53"/>
      <c r="N315" s="129">
        <f t="shared" si="27"/>
        <v>0</v>
      </c>
      <c r="O315" s="58">
        <f>(G315-(G315*I320))-L315</f>
        <v>150</v>
      </c>
      <c r="P315" s="175"/>
    </row>
    <row r="316" spans="1:16" ht="36.75" customHeight="1" thickTop="1" thickBot="1" x14ac:dyDescent="0.35">
      <c r="A316" s="57" t="str">
        <f t="shared" si="28"/>
        <v>صباغة</v>
      </c>
      <c r="B316" s="165"/>
      <c r="C316" s="167"/>
      <c r="D316" s="169"/>
      <c r="E316" s="57" t="s">
        <v>78</v>
      </c>
      <c r="F316" s="54" t="s">
        <v>159</v>
      </c>
      <c r="G316" s="57">
        <f>G315*F319</f>
        <v>15</v>
      </c>
      <c r="H316" s="54"/>
      <c r="I316" s="54"/>
      <c r="J316" s="155"/>
      <c r="K316" s="157"/>
      <c r="L316" s="53"/>
      <c r="M316" s="53"/>
      <c r="N316" s="129">
        <f t="shared" si="27"/>
        <v>0</v>
      </c>
      <c r="O316" s="58">
        <f>(G316-(G316*I320))-L316</f>
        <v>15</v>
      </c>
      <c r="P316" s="175"/>
    </row>
    <row r="317" spans="1:16" ht="36.75" customHeight="1" thickTop="1" thickBot="1" x14ac:dyDescent="0.35">
      <c r="A317" s="57" t="str">
        <f>A316</f>
        <v>صباغة</v>
      </c>
      <c r="B317" s="165"/>
      <c r="C317" s="167"/>
      <c r="D317" s="169"/>
      <c r="E317" s="57" t="s">
        <v>156</v>
      </c>
      <c r="F317" s="54" t="s">
        <v>160</v>
      </c>
      <c r="G317" s="115">
        <f>75*2</f>
        <v>150</v>
      </c>
      <c r="H317" s="54" t="s">
        <v>18</v>
      </c>
      <c r="I317" s="54" t="s">
        <v>75</v>
      </c>
      <c r="J317" s="155"/>
      <c r="K317" s="157"/>
      <c r="L317" s="53"/>
      <c r="M317" s="53"/>
      <c r="N317" s="129">
        <f t="shared" si="27"/>
        <v>0</v>
      </c>
      <c r="O317" s="58">
        <f>(G317-(G317*I320))-L317</f>
        <v>150</v>
      </c>
      <c r="P317" s="175"/>
    </row>
    <row r="318" spans="1:16" ht="36.75" customHeight="1" thickTop="1" thickBot="1" x14ac:dyDescent="0.35">
      <c r="A318" s="57" t="str">
        <f>A317</f>
        <v>صباغة</v>
      </c>
      <c r="B318" s="165"/>
      <c r="C318" s="167"/>
      <c r="D318" s="169"/>
      <c r="E318" s="57" t="s">
        <v>78</v>
      </c>
      <c r="F318" s="54" t="s">
        <v>160</v>
      </c>
      <c r="G318" s="57">
        <f>G317*F319</f>
        <v>15</v>
      </c>
      <c r="H318" s="54"/>
      <c r="I318" s="54"/>
      <c r="J318" s="155"/>
      <c r="K318" s="157"/>
      <c r="L318" s="53"/>
      <c r="M318" s="53"/>
      <c r="N318" s="129">
        <f t="shared" si="27"/>
        <v>0</v>
      </c>
      <c r="O318" s="58">
        <f>(G318-(G318*I320))-L318</f>
        <v>15</v>
      </c>
      <c r="P318" s="175"/>
    </row>
    <row r="319" spans="1:16" ht="36.75" customHeight="1" thickTop="1" thickBot="1" x14ac:dyDescent="0.35">
      <c r="A319" s="57" t="str">
        <f>A318</f>
        <v>صباغة</v>
      </c>
      <c r="B319" s="170"/>
      <c r="C319" s="171"/>
      <c r="D319" s="172"/>
      <c r="E319" s="56" t="s">
        <v>161</v>
      </c>
      <c r="F319" s="15">
        <v>0.1</v>
      </c>
      <c r="G319" s="56">
        <f>G316+G314+G312+G310+G308+G318</f>
        <v>90</v>
      </c>
      <c r="H319" s="55" t="s">
        <v>156</v>
      </c>
      <c r="I319" s="55">
        <f>G320</f>
        <v>900</v>
      </c>
      <c r="J319" s="52">
        <f>(K319-(K319*I320))-L319</f>
        <v>108.8</v>
      </c>
      <c r="K319" s="53">
        <f>108.8</f>
        <v>108.8</v>
      </c>
      <c r="L319" s="53"/>
      <c r="M319" s="53"/>
      <c r="N319" s="129">
        <f t="shared" si="27"/>
        <v>0</v>
      </c>
      <c r="O319" s="58">
        <f>(G319-(G319*I320))-L319</f>
        <v>90</v>
      </c>
      <c r="P319" s="175"/>
    </row>
    <row r="320" spans="1:16" ht="36.75" customHeight="1" thickTop="1" thickBot="1" x14ac:dyDescent="0.35">
      <c r="A320" s="57" t="str">
        <f t="shared" si="28"/>
        <v>صباغة</v>
      </c>
      <c r="B320" s="161" t="s">
        <v>29</v>
      </c>
      <c r="C320" s="162"/>
      <c r="D320" s="162"/>
      <c r="E320" s="162"/>
      <c r="F320" s="163"/>
      <c r="G320" s="54">
        <f>G315+G313+G311+G309+G307+G317</f>
        <v>900</v>
      </c>
      <c r="H320" s="2" t="s">
        <v>30</v>
      </c>
      <c r="I320" s="3">
        <v>0</v>
      </c>
      <c r="J320" s="52"/>
      <c r="K320" s="53"/>
      <c r="L320" s="53">
        <f>SUM(L307:L318)</f>
        <v>0</v>
      </c>
      <c r="M320" s="53"/>
      <c r="N320" s="129">
        <f t="shared" si="27"/>
        <v>0</v>
      </c>
      <c r="O320" s="58">
        <f>SUM(O307:O319)</f>
        <v>1080</v>
      </c>
      <c r="P320" s="175"/>
    </row>
    <row r="321" spans="1:16" ht="36.75" customHeight="1" thickTop="1" thickBot="1" x14ac:dyDescent="0.35">
      <c r="A321" s="90" t="s">
        <v>32</v>
      </c>
      <c r="B321" s="90" t="s">
        <v>0</v>
      </c>
      <c r="C321" s="90" t="s">
        <v>1</v>
      </c>
      <c r="D321" s="91" t="s">
        <v>2</v>
      </c>
      <c r="E321" s="90" t="s">
        <v>3</v>
      </c>
      <c r="F321" s="90" t="s">
        <v>11</v>
      </c>
      <c r="G321" s="90" t="s">
        <v>4</v>
      </c>
      <c r="H321" s="90" t="s">
        <v>15</v>
      </c>
      <c r="I321" s="90" t="s">
        <v>16</v>
      </c>
      <c r="J321" s="90" t="s">
        <v>56</v>
      </c>
      <c r="K321" s="90" t="s">
        <v>12</v>
      </c>
      <c r="L321" s="90" t="s">
        <v>13</v>
      </c>
      <c r="M321" s="90" t="s">
        <v>101</v>
      </c>
      <c r="N321" s="90" t="s">
        <v>100</v>
      </c>
      <c r="O321" s="90" t="s">
        <v>102</v>
      </c>
      <c r="P321" s="90" t="s">
        <v>5</v>
      </c>
    </row>
    <row r="322" spans="1:16" ht="36.75" customHeight="1" thickTop="1" thickBot="1" x14ac:dyDescent="0.35">
      <c r="A322" s="57" t="str">
        <f>A321</f>
        <v>صباغة</v>
      </c>
      <c r="B322" s="164" t="s">
        <v>153</v>
      </c>
      <c r="C322" s="166" t="s">
        <v>155</v>
      </c>
      <c r="D322" s="168" t="s">
        <v>47</v>
      </c>
      <c r="E322" s="57" t="s">
        <v>162</v>
      </c>
      <c r="F322" s="54" t="s">
        <v>117</v>
      </c>
      <c r="G322" s="57">
        <f>75+75</f>
        <v>150</v>
      </c>
      <c r="H322" s="54" t="s">
        <v>18</v>
      </c>
      <c r="I322" s="54" t="s">
        <v>75</v>
      </c>
      <c r="J322" s="154">
        <f>(K322-(K322*I335))-L335</f>
        <v>902.9</v>
      </c>
      <c r="K322" s="156">
        <f>902.9</f>
        <v>902.9</v>
      </c>
      <c r="L322" s="53"/>
      <c r="M322" s="53"/>
      <c r="N322" s="129">
        <f t="shared" ref="N322:N335" si="29">L322-M322</f>
        <v>0</v>
      </c>
      <c r="O322" s="58">
        <f>(G322-(G322*I335))-L322</f>
        <v>150</v>
      </c>
      <c r="P322" s="175" t="s">
        <v>57</v>
      </c>
    </row>
    <row r="323" spans="1:16" ht="36.75" customHeight="1" thickTop="1" thickBot="1" x14ac:dyDescent="0.35">
      <c r="A323" s="57" t="str">
        <f t="shared" ref="A323:A335" si="30">A322</f>
        <v>صباغة</v>
      </c>
      <c r="B323" s="165"/>
      <c r="C323" s="167"/>
      <c r="D323" s="169"/>
      <c r="E323" s="57" t="s">
        <v>78</v>
      </c>
      <c r="F323" s="54" t="s">
        <v>117</v>
      </c>
      <c r="G323" s="57">
        <f>G322*F334</f>
        <v>15</v>
      </c>
      <c r="H323" s="54"/>
      <c r="I323" s="54"/>
      <c r="J323" s="155"/>
      <c r="K323" s="157"/>
      <c r="L323" s="53"/>
      <c r="M323" s="53"/>
      <c r="N323" s="129">
        <f t="shared" si="29"/>
        <v>0</v>
      </c>
      <c r="O323" s="58">
        <f>(G323-(G323*I335))-L323</f>
        <v>15</v>
      </c>
      <c r="P323" s="175"/>
    </row>
    <row r="324" spans="1:16" ht="36.75" customHeight="1" thickTop="1" thickBot="1" x14ac:dyDescent="0.35">
      <c r="A324" s="57" t="str">
        <f t="shared" si="30"/>
        <v>صباغة</v>
      </c>
      <c r="B324" s="165"/>
      <c r="C324" s="167"/>
      <c r="D324" s="169"/>
      <c r="E324" s="57" t="s">
        <v>162</v>
      </c>
      <c r="F324" s="54" t="s">
        <v>157</v>
      </c>
      <c r="G324" s="57">
        <f>G322</f>
        <v>150</v>
      </c>
      <c r="H324" s="54" t="s">
        <v>18</v>
      </c>
      <c r="I324" s="54" t="s">
        <v>75</v>
      </c>
      <c r="J324" s="155"/>
      <c r="K324" s="157"/>
      <c r="L324" s="53"/>
      <c r="M324" s="53"/>
      <c r="N324" s="129">
        <f t="shared" si="29"/>
        <v>0</v>
      </c>
      <c r="O324" s="58">
        <f>(G324-(G324*I335))-L324</f>
        <v>150</v>
      </c>
      <c r="P324" s="175"/>
    </row>
    <row r="325" spans="1:16" ht="36.75" customHeight="1" thickTop="1" thickBot="1" x14ac:dyDescent="0.35">
      <c r="A325" s="57" t="str">
        <f t="shared" si="30"/>
        <v>صباغة</v>
      </c>
      <c r="B325" s="165"/>
      <c r="C325" s="167"/>
      <c r="D325" s="169"/>
      <c r="E325" s="57" t="s">
        <v>78</v>
      </c>
      <c r="F325" s="54" t="s">
        <v>157</v>
      </c>
      <c r="G325" s="57">
        <f>G324*F334</f>
        <v>15</v>
      </c>
      <c r="H325" s="54"/>
      <c r="I325" s="54"/>
      <c r="J325" s="155"/>
      <c r="K325" s="157"/>
      <c r="L325" s="53"/>
      <c r="M325" s="53"/>
      <c r="N325" s="129">
        <f t="shared" si="29"/>
        <v>0</v>
      </c>
      <c r="O325" s="58">
        <f>(G325-(G325*I335))-L325</f>
        <v>15</v>
      </c>
      <c r="P325" s="175"/>
    </row>
    <row r="326" spans="1:16" ht="36.75" customHeight="1" thickTop="1" thickBot="1" x14ac:dyDescent="0.35">
      <c r="A326" s="57" t="str">
        <f t="shared" si="30"/>
        <v>صباغة</v>
      </c>
      <c r="B326" s="165"/>
      <c r="C326" s="167"/>
      <c r="D326" s="169"/>
      <c r="E326" s="57" t="s">
        <v>162</v>
      </c>
      <c r="F326" s="54" t="s">
        <v>70</v>
      </c>
      <c r="G326" s="57">
        <f>G322</f>
        <v>150</v>
      </c>
      <c r="H326" s="54" t="s">
        <v>18</v>
      </c>
      <c r="I326" s="54" t="s">
        <v>75</v>
      </c>
      <c r="J326" s="155"/>
      <c r="K326" s="157"/>
      <c r="L326" s="53"/>
      <c r="M326" s="53"/>
      <c r="N326" s="129">
        <f t="shared" si="29"/>
        <v>0</v>
      </c>
      <c r="O326" s="58">
        <f>(G326-(G326*I335))-L326</f>
        <v>150</v>
      </c>
      <c r="P326" s="175"/>
    </row>
    <row r="327" spans="1:16" ht="36.75" customHeight="1" thickTop="1" thickBot="1" x14ac:dyDescent="0.35">
      <c r="A327" s="57" t="str">
        <f t="shared" si="30"/>
        <v>صباغة</v>
      </c>
      <c r="B327" s="165"/>
      <c r="C327" s="167"/>
      <c r="D327" s="169"/>
      <c r="E327" s="57" t="s">
        <v>78</v>
      </c>
      <c r="F327" s="54" t="s">
        <v>70</v>
      </c>
      <c r="G327" s="57">
        <f>G326*F334</f>
        <v>15</v>
      </c>
      <c r="H327" s="54"/>
      <c r="I327" s="54"/>
      <c r="J327" s="155"/>
      <c r="K327" s="157"/>
      <c r="L327" s="53"/>
      <c r="M327" s="53"/>
      <c r="N327" s="129">
        <f t="shared" si="29"/>
        <v>0</v>
      </c>
      <c r="O327" s="58">
        <f>(G327-(G327*I335))-L327</f>
        <v>15</v>
      </c>
      <c r="P327" s="175"/>
    </row>
    <row r="328" spans="1:16" ht="36.75" customHeight="1" thickTop="1" thickBot="1" x14ac:dyDescent="0.35">
      <c r="A328" s="57" t="str">
        <f t="shared" si="30"/>
        <v>صباغة</v>
      </c>
      <c r="B328" s="165"/>
      <c r="C328" s="167"/>
      <c r="D328" s="169"/>
      <c r="E328" s="57" t="s">
        <v>162</v>
      </c>
      <c r="F328" s="54" t="s">
        <v>158</v>
      </c>
      <c r="G328" s="57">
        <f>G322</f>
        <v>150</v>
      </c>
      <c r="H328" s="54" t="s">
        <v>18</v>
      </c>
      <c r="I328" s="54" t="s">
        <v>75</v>
      </c>
      <c r="J328" s="155"/>
      <c r="K328" s="157"/>
      <c r="L328" s="53"/>
      <c r="M328" s="53"/>
      <c r="N328" s="129">
        <f t="shared" si="29"/>
        <v>0</v>
      </c>
      <c r="O328" s="58">
        <f>(G328-(G328*I335))-L328</f>
        <v>150</v>
      </c>
      <c r="P328" s="175"/>
    </row>
    <row r="329" spans="1:16" ht="36.75" customHeight="1" thickTop="1" thickBot="1" x14ac:dyDescent="0.35">
      <c r="A329" s="57" t="str">
        <f t="shared" si="30"/>
        <v>صباغة</v>
      </c>
      <c r="B329" s="165"/>
      <c r="C329" s="167"/>
      <c r="D329" s="169"/>
      <c r="E329" s="57" t="s">
        <v>78</v>
      </c>
      <c r="F329" s="54" t="s">
        <v>158</v>
      </c>
      <c r="G329" s="57">
        <f>G328*F334</f>
        <v>15</v>
      </c>
      <c r="H329" s="54"/>
      <c r="I329" s="54"/>
      <c r="J329" s="155"/>
      <c r="K329" s="157"/>
      <c r="L329" s="53"/>
      <c r="M329" s="53"/>
      <c r="N329" s="129">
        <f t="shared" si="29"/>
        <v>0</v>
      </c>
      <c r="O329" s="58">
        <f>(G329-(G329*I335))-L329</f>
        <v>15</v>
      </c>
      <c r="P329" s="175"/>
    </row>
    <row r="330" spans="1:16" ht="36.75" customHeight="1" thickTop="1" thickBot="1" x14ac:dyDescent="0.35">
      <c r="A330" s="57" t="str">
        <f t="shared" si="30"/>
        <v>صباغة</v>
      </c>
      <c r="B330" s="165"/>
      <c r="C330" s="167"/>
      <c r="D330" s="169"/>
      <c r="E330" s="57" t="s">
        <v>162</v>
      </c>
      <c r="F330" s="54" t="s">
        <v>159</v>
      </c>
      <c r="G330" s="57">
        <f>G322</f>
        <v>150</v>
      </c>
      <c r="H330" s="54" t="s">
        <v>18</v>
      </c>
      <c r="I330" s="54" t="s">
        <v>75</v>
      </c>
      <c r="J330" s="155"/>
      <c r="K330" s="157"/>
      <c r="L330" s="53"/>
      <c r="M330" s="53"/>
      <c r="N330" s="129">
        <f t="shared" si="29"/>
        <v>0</v>
      </c>
      <c r="O330" s="58">
        <f>(G330-(G330*I335))-L330</f>
        <v>150</v>
      </c>
      <c r="P330" s="175"/>
    </row>
    <row r="331" spans="1:16" ht="36.75" customHeight="1" thickTop="1" thickBot="1" x14ac:dyDescent="0.35">
      <c r="A331" s="57" t="str">
        <f t="shared" si="30"/>
        <v>صباغة</v>
      </c>
      <c r="B331" s="165"/>
      <c r="C331" s="167"/>
      <c r="D331" s="169"/>
      <c r="E331" s="57" t="s">
        <v>78</v>
      </c>
      <c r="F331" s="54" t="s">
        <v>159</v>
      </c>
      <c r="G331" s="57">
        <f>G330*F334</f>
        <v>15</v>
      </c>
      <c r="H331" s="54"/>
      <c r="I331" s="54"/>
      <c r="J331" s="155"/>
      <c r="K331" s="157"/>
      <c r="L331" s="53"/>
      <c r="M331" s="53"/>
      <c r="N331" s="129">
        <f t="shared" si="29"/>
        <v>0</v>
      </c>
      <c r="O331" s="58">
        <f>(G331-(G331*I335))-L331</f>
        <v>15</v>
      </c>
      <c r="P331" s="175"/>
    </row>
    <row r="332" spans="1:16" ht="36.75" customHeight="1" thickTop="1" thickBot="1" x14ac:dyDescent="0.35">
      <c r="A332" s="57" t="str">
        <f>A331</f>
        <v>صباغة</v>
      </c>
      <c r="B332" s="165"/>
      <c r="C332" s="167"/>
      <c r="D332" s="169"/>
      <c r="E332" s="57" t="s">
        <v>162</v>
      </c>
      <c r="F332" s="54" t="s">
        <v>160</v>
      </c>
      <c r="G332" s="57">
        <f>G322</f>
        <v>150</v>
      </c>
      <c r="H332" s="54" t="s">
        <v>18</v>
      </c>
      <c r="I332" s="54" t="s">
        <v>75</v>
      </c>
      <c r="J332" s="155"/>
      <c r="K332" s="157"/>
      <c r="L332" s="53"/>
      <c r="M332" s="53"/>
      <c r="N332" s="129">
        <f t="shared" si="29"/>
        <v>0</v>
      </c>
      <c r="O332" s="58">
        <f>(G332-(G332*I335))-L332</f>
        <v>150</v>
      </c>
      <c r="P332" s="175"/>
    </row>
    <row r="333" spans="1:16" ht="36.75" customHeight="1" thickTop="1" thickBot="1" x14ac:dyDescent="0.35">
      <c r="A333" s="57" t="str">
        <f>A332</f>
        <v>صباغة</v>
      </c>
      <c r="B333" s="165"/>
      <c r="C333" s="167"/>
      <c r="D333" s="169"/>
      <c r="E333" s="57" t="s">
        <v>78</v>
      </c>
      <c r="F333" s="54" t="s">
        <v>160</v>
      </c>
      <c r="G333" s="57">
        <f>G332*F334</f>
        <v>15</v>
      </c>
      <c r="H333" s="54"/>
      <c r="I333" s="54"/>
      <c r="J333" s="155"/>
      <c r="K333" s="157"/>
      <c r="L333" s="53"/>
      <c r="M333" s="53"/>
      <c r="N333" s="129">
        <f t="shared" si="29"/>
        <v>0</v>
      </c>
      <c r="O333" s="58">
        <f>(G333-(G333*I335))-L333</f>
        <v>15</v>
      </c>
      <c r="P333" s="175"/>
    </row>
    <row r="334" spans="1:16" ht="36.75" customHeight="1" thickTop="1" thickBot="1" x14ac:dyDescent="0.35">
      <c r="A334" s="57" t="str">
        <f>A333</f>
        <v>صباغة</v>
      </c>
      <c r="B334" s="170"/>
      <c r="C334" s="171"/>
      <c r="D334" s="172"/>
      <c r="E334" s="56" t="s">
        <v>163</v>
      </c>
      <c r="F334" s="15">
        <v>0.1</v>
      </c>
      <c r="G334" s="56">
        <f>G331+G329+G327+G325+G323+G333</f>
        <v>90</v>
      </c>
      <c r="H334" s="55" t="s">
        <v>162</v>
      </c>
      <c r="I334" s="55">
        <f>G335</f>
        <v>900</v>
      </c>
      <c r="J334" s="52">
        <f>(K334-(K334*I335))-L334</f>
        <v>92.2</v>
      </c>
      <c r="K334" s="53">
        <f>92.2</f>
        <v>92.2</v>
      </c>
      <c r="L334" s="53"/>
      <c r="M334" s="53"/>
      <c r="N334" s="129">
        <f t="shared" si="29"/>
        <v>0</v>
      </c>
      <c r="O334" s="58">
        <f>(G334-(G334*I335))-L334</f>
        <v>90</v>
      </c>
      <c r="P334" s="175"/>
    </row>
    <row r="335" spans="1:16" ht="36.75" customHeight="1" thickTop="1" thickBot="1" x14ac:dyDescent="0.35">
      <c r="A335" s="57" t="str">
        <f t="shared" si="30"/>
        <v>صباغة</v>
      </c>
      <c r="B335" s="161" t="s">
        <v>29</v>
      </c>
      <c r="C335" s="162"/>
      <c r="D335" s="162"/>
      <c r="E335" s="162"/>
      <c r="F335" s="163"/>
      <c r="G335" s="54">
        <f>G330+G328+G326+G324+G322+G332</f>
        <v>900</v>
      </c>
      <c r="H335" s="2" t="s">
        <v>30</v>
      </c>
      <c r="I335" s="3">
        <v>0</v>
      </c>
      <c r="J335" s="52"/>
      <c r="K335" s="53"/>
      <c r="L335" s="53">
        <f>SUM(L322:L333)</f>
        <v>0</v>
      </c>
      <c r="M335" s="53"/>
      <c r="N335" s="129">
        <f t="shared" si="29"/>
        <v>0</v>
      </c>
      <c r="O335" s="58">
        <f>SUM(O322:O334)</f>
        <v>1080</v>
      </c>
      <c r="P335" s="175"/>
    </row>
    <row r="336" spans="1:16" ht="36.75" customHeight="1" thickTop="1" thickBot="1" x14ac:dyDescent="0.35">
      <c r="A336" s="90" t="s">
        <v>32</v>
      </c>
      <c r="B336" s="90" t="s">
        <v>0</v>
      </c>
      <c r="C336" s="90" t="s">
        <v>1</v>
      </c>
      <c r="D336" s="91" t="s">
        <v>2</v>
      </c>
      <c r="E336" s="90" t="s">
        <v>3</v>
      </c>
      <c r="F336" s="90" t="s">
        <v>11</v>
      </c>
      <c r="G336" s="90" t="s">
        <v>4</v>
      </c>
      <c r="H336" s="90" t="s">
        <v>15</v>
      </c>
      <c r="I336" s="90" t="s">
        <v>16</v>
      </c>
      <c r="J336" s="90" t="s">
        <v>56</v>
      </c>
      <c r="K336" s="90" t="s">
        <v>12</v>
      </c>
      <c r="L336" s="90" t="s">
        <v>13</v>
      </c>
      <c r="M336" s="90" t="s">
        <v>101</v>
      </c>
      <c r="N336" s="90" t="s">
        <v>100</v>
      </c>
      <c r="O336" s="90" t="s">
        <v>102</v>
      </c>
      <c r="P336" s="90" t="s">
        <v>5</v>
      </c>
    </row>
    <row r="337" spans="1:16" ht="36.75" customHeight="1" thickTop="1" thickBot="1" x14ac:dyDescent="0.35">
      <c r="A337" s="57" t="str">
        <f>A336</f>
        <v>صباغة</v>
      </c>
      <c r="B337" s="164" t="s">
        <v>153</v>
      </c>
      <c r="C337" s="166" t="s">
        <v>155</v>
      </c>
      <c r="D337" s="168" t="s">
        <v>47</v>
      </c>
      <c r="E337" s="57" t="s">
        <v>164</v>
      </c>
      <c r="F337" s="54" t="s">
        <v>117</v>
      </c>
      <c r="G337" s="57">
        <f>75+75</f>
        <v>150</v>
      </c>
      <c r="H337" s="54" t="s">
        <v>18</v>
      </c>
      <c r="I337" s="54" t="s">
        <v>75</v>
      </c>
      <c r="J337" s="154">
        <f>(K337-(K337*I350))-L350</f>
        <v>0</v>
      </c>
      <c r="K337" s="156"/>
      <c r="L337" s="53"/>
      <c r="M337" s="53"/>
      <c r="N337" s="129">
        <f t="shared" ref="N337:N350" si="31">L337-M337</f>
        <v>0</v>
      </c>
      <c r="O337" s="58">
        <f>(G337-(G337*I350))-L337</f>
        <v>150</v>
      </c>
      <c r="P337" s="175" t="s">
        <v>57</v>
      </c>
    </row>
    <row r="338" spans="1:16" ht="36.75" customHeight="1" thickTop="1" thickBot="1" x14ac:dyDescent="0.35">
      <c r="A338" s="57" t="str">
        <f t="shared" ref="A338:A350" si="32">A337</f>
        <v>صباغة</v>
      </c>
      <c r="B338" s="165"/>
      <c r="C338" s="167"/>
      <c r="D338" s="169"/>
      <c r="E338" s="57" t="s">
        <v>78</v>
      </c>
      <c r="F338" s="54" t="s">
        <v>117</v>
      </c>
      <c r="G338" s="57">
        <f>G337*F349</f>
        <v>15</v>
      </c>
      <c r="H338" s="54"/>
      <c r="I338" s="54"/>
      <c r="J338" s="155"/>
      <c r="K338" s="157"/>
      <c r="L338" s="53"/>
      <c r="M338" s="53"/>
      <c r="N338" s="129">
        <f t="shared" si="31"/>
        <v>0</v>
      </c>
      <c r="O338" s="58">
        <f>(G338-(G338*I350))-L338</f>
        <v>15</v>
      </c>
      <c r="P338" s="175"/>
    </row>
    <row r="339" spans="1:16" ht="36.75" customHeight="1" thickTop="1" thickBot="1" x14ac:dyDescent="0.35">
      <c r="A339" s="57" t="str">
        <f t="shared" si="32"/>
        <v>صباغة</v>
      </c>
      <c r="B339" s="165"/>
      <c r="C339" s="167"/>
      <c r="D339" s="169"/>
      <c r="E339" s="57" t="str">
        <f>E337</f>
        <v>RP</v>
      </c>
      <c r="F339" s="54" t="s">
        <v>157</v>
      </c>
      <c r="G339" s="57">
        <f>G337</f>
        <v>150</v>
      </c>
      <c r="H339" s="54" t="s">
        <v>18</v>
      </c>
      <c r="I339" s="54" t="s">
        <v>75</v>
      </c>
      <c r="J339" s="155"/>
      <c r="K339" s="157"/>
      <c r="L339" s="53"/>
      <c r="M339" s="53"/>
      <c r="N339" s="129">
        <f t="shared" si="31"/>
        <v>0</v>
      </c>
      <c r="O339" s="58">
        <f>(G339-(G339*I350))-L339</f>
        <v>150</v>
      </c>
      <c r="P339" s="175"/>
    </row>
    <row r="340" spans="1:16" ht="36.75" customHeight="1" thickTop="1" thickBot="1" x14ac:dyDescent="0.35">
      <c r="A340" s="57" t="str">
        <f t="shared" si="32"/>
        <v>صباغة</v>
      </c>
      <c r="B340" s="165"/>
      <c r="C340" s="167"/>
      <c r="D340" s="169"/>
      <c r="E340" s="57" t="s">
        <v>78</v>
      </c>
      <c r="F340" s="54" t="s">
        <v>157</v>
      </c>
      <c r="G340" s="57">
        <f>G339*F349</f>
        <v>15</v>
      </c>
      <c r="H340" s="54"/>
      <c r="I340" s="54"/>
      <c r="J340" s="155"/>
      <c r="K340" s="157"/>
      <c r="L340" s="53"/>
      <c r="M340" s="53"/>
      <c r="N340" s="129">
        <f t="shared" si="31"/>
        <v>0</v>
      </c>
      <c r="O340" s="58">
        <f>(G340-(G340*I350))-L340</f>
        <v>15</v>
      </c>
      <c r="P340" s="175"/>
    </row>
    <row r="341" spans="1:16" ht="36.75" customHeight="1" thickTop="1" thickBot="1" x14ac:dyDescent="0.35">
      <c r="A341" s="57" t="str">
        <f t="shared" si="32"/>
        <v>صباغة</v>
      </c>
      <c r="B341" s="165"/>
      <c r="C341" s="167"/>
      <c r="D341" s="169"/>
      <c r="E341" s="57" t="str">
        <f>E337</f>
        <v>RP</v>
      </c>
      <c r="F341" s="54" t="s">
        <v>70</v>
      </c>
      <c r="G341" s="57">
        <f>G337</f>
        <v>150</v>
      </c>
      <c r="H341" s="54" t="s">
        <v>18</v>
      </c>
      <c r="I341" s="54" t="s">
        <v>75</v>
      </c>
      <c r="J341" s="155"/>
      <c r="K341" s="157"/>
      <c r="L341" s="53"/>
      <c r="M341" s="53"/>
      <c r="N341" s="129">
        <f t="shared" si="31"/>
        <v>0</v>
      </c>
      <c r="O341" s="58">
        <f>(G341-(G341*I350))-L341</f>
        <v>150</v>
      </c>
      <c r="P341" s="175"/>
    </row>
    <row r="342" spans="1:16" ht="36.75" customHeight="1" thickTop="1" thickBot="1" x14ac:dyDescent="0.35">
      <c r="A342" s="57" t="str">
        <f t="shared" si="32"/>
        <v>صباغة</v>
      </c>
      <c r="B342" s="165"/>
      <c r="C342" s="167"/>
      <c r="D342" s="169"/>
      <c r="E342" s="57" t="s">
        <v>78</v>
      </c>
      <c r="F342" s="54" t="s">
        <v>70</v>
      </c>
      <c r="G342" s="57">
        <f>G341*F349</f>
        <v>15</v>
      </c>
      <c r="H342" s="54"/>
      <c r="I342" s="54"/>
      <c r="J342" s="155"/>
      <c r="K342" s="157"/>
      <c r="L342" s="53"/>
      <c r="M342" s="53"/>
      <c r="N342" s="129">
        <f t="shared" si="31"/>
        <v>0</v>
      </c>
      <c r="O342" s="58">
        <f>(G342-(G342*I350))-L342</f>
        <v>15</v>
      </c>
      <c r="P342" s="175"/>
    </row>
    <row r="343" spans="1:16" ht="36.75" customHeight="1" thickTop="1" thickBot="1" x14ac:dyDescent="0.35">
      <c r="A343" s="57" t="str">
        <f t="shared" si="32"/>
        <v>صباغة</v>
      </c>
      <c r="B343" s="165"/>
      <c r="C343" s="167"/>
      <c r="D343" s="169"/>
      <c r="E343" s="57" t="str">
        <f>E337</f>
        <v>RP</v>
      </c>
      <c r="F343" s="54" t="s">
        <v>158</v>
      </c>
      <c r="G343" s="57">
        <f>G337</f>
        <v>150</v>
      </c>
      <c r="H343" s="54" t="s">
        <v>18</v>
      </c>
      <c r="I343" s="54" t="s">
        <v>75</v>
      </c>
      <c r="J343" s="155"/>
      <c r="K343" s="157"/>
      <c r="L343" s="53"/>
      <c r="M343" s="53"/>
      <c r="N343" s="129">
        <f t="shared" si="31"/>
        <v>0</v>
      </c>
      <c r="O343" s="58">
        <f>(G343-(G343*I350))-L343</f>
        <v>150</v>
      </c>
      <c r="P343" s="175"/>
    </row>
    <row r="344" spans="1:16" ht="36.75" customHeight="1" thickTop="1" thickBot="1" x14ac:dyDescent="0.35">
      <c r="A344" s="57" t="str">
        <f t="shared" si="32"/>
        <v>صباغة</v>
      </c>
      <c r="B344" s="165"/>
      <c r="C344" s="167"/>
      <c r="D344" s="169"/>
      <c r="E344" s="57" t="s">
        <v>78</v>
      </c>
      <c r="F344" s="54" t="s">
        <v>158</v>
      </c>
      <c r="G344" s="57">
        <f>G343*F349</f>
        <v>15</v>
      </c>
      <c r="H344" s="54"/>
      <c r="I344" s="54"/>
      <c r="J344" s="155"/>
      <c r="K344" s="157"/>
      <c r="L344" s="53"/>
      <c r="M344" s="53"/>
      <c r="N344" s="129">
        <f t="shared" si="31"/>
        <v>0</v>
      </c>
      <c r="O344" s="58">
        <f>(G344-(G344*I350))-L344</f>
        <v>15</v>
      </c>
      <c r="P344" s="175"/>
    </row>
    <row r="345" spans="1:16" ht="36.75" customHeight="1" thickTop="1" thickBot="1" x14ac:dyDescent="0.35">
      <c r="A345" s="57" t="str">
        <f t="shared" si="32"/>
        <v>صباغة</v>
      </c>
      <c r="B345" s="165"/>
      <c r="C345" s="167"/>
      <c r="D345" s="169"/>
      <c r="E345" s="57" t="str">
        <f>E337</f>
        <v>RP</v>
      </c>
      <c r="F345" s="54" t="s">
        <v>159</v>
      </c>
      <c r="G345" s="57">
        <f>G337</f>
        <v>150</v>
      </c>
      <c r="H345" s="54" t="s">
        <v>18</v>
      </c>
      <c r="I345" s="54" t="s">
        <v>75</v>
      </c>
      <c r="J345" s="155"/>
      <c r="K345" s="157"/>
      <c r="L345" s="53"/>
      <c r="M345" s="53"/>
      <c r="N345" s="129">
        <f t="shared" si="31"/>
        <v>0</v>
      </c>
      <c r="O345" s="58">
        <f>(G345-(G345*I350))-L345</f>
        <v>150</v>
      </c>
      <c r="P345" s="175"/>
    </row>
    <row r="346" spans="1:16" ht="36.75" customHeight="1" thickTop="1" thickBot="1" x14ac:dyDescent="0.35">
      <c r="A346" s="57" t="str">
        <f t="shared" si="32"/>
        <v>صباغة</v>
      </c>
      <c r="B346" s="165"/>
      <c r="C346" s="167"/>
      <c r="D346" s="169"/>
      <c r="E346" s="57" t="s">
        <v>78</v>
      </c>
      <c r="F346" s="54" t="s">
        <v>159</v>
      </c>
      <c r="G346" s="57">
        <f>G345*F349</f>
        <v>15</v>
      </c>
      <c r="H346" s="54"/>
      <c r="I346" s="54"/>
      <c r="J346" s="155"/>
      <c r="K346" s="157"/>
      <c r="L346" s="53"/>
      <c r="M346" s="53"/>
      <c r="N346" s="129">
        <f t="shared" si="31"/>
        <v>0</v>
      </c>
      <c r="O346" s="58">
        <f>(G346-(G346*I350))-L346</f>
        <v>15</v>
      </c>
      <c r="P346" s="175"/>
    </row>
    <row r="347" spans="1:16" ht="36.75" customHeight="1" thickTop="1" thickBot="1" x14ac:dyDescent="0.35">
      <c r="A347" s="57" t="str">
        <f>A346</f>
        <v>صباغة</v>
      </c>
      <c r="B347" s="165"/>
      <c r="C347" s="167"/>
      <c r="D347" s="169"/>
      <c r="E347" s="57" t="str">
        <f>E337</f>
        <v>RP</v>
      </c>
      <c r="F347" s="54" t="s">
        <v>160</v>
      </c>
      <c r="G347" s="57">
        <f>G337</f>
        <v>150</v>
      </c>
      <c r="H347" s="54" t="s">
        <v>18</v>
      </c>
      <c r="I347" s="54" t="s">
        <v>75</v>
      </c>
      <c r="J347" s="155"/>
      <c r="K347" s="157"/>
      <c r="L347" s="53"/>
      <c r="M347" s="53"/>
      <c r="N347" s="129">
        <f t="shared" si="31"/>
        <v>0</v>
      </c>
      <c r="O347" s="58">
        <f>(G347-(G347*I350))-L347</f>
        <v>150</v>
      </c>
      <c r="P347" s="175"/>
    </row>
    <row r="348" spans="1:16" ht="36.75" customHeight="1" thickTop="1" thickBot="1" x14ac:dyDescent="0.35">
      <c r="A348" s="57" t="str">
        <f>A347</f>
        <v>صباغة</v>
      </c>
      <c r="B348" s="165"/>
      <c r="C348" s="167"/>
      <c r="D348" s="169"/>
      <c r="E348" s="57" t="s">
        <v>78</v>
      </c>
      <c r="F348" s="54" t="s">
        <v>160</v>
      </c>
      <c r="G348" s="57">
        <f>G347*F349</f>
        <v>15</v>
      </c>
      <c r="H348" s="54"/>
      <c r="I348" s="54"/>
      <c r="J348" s="155"/>
      <c r="K348" s="157"/>
      <c r="L348" s="53"/>
      <c r="M348" s="53"/>
      <c r="N348" s="129">
        <f t="shared" si="31"/>
        <v>0</v>
      </c>
      <c r="O348" s="58">
        <f>(G348-(G348*I350))-L348</f>
        <v>15</v>
      </c>
      <c r="P348" s="175"/>
    </row>
    <row r="349" spans="1:16" ht="36.75" customHeight="1" thickTop="1" thickBot="1" x14ac:dyDescent="0.35">
      <c r="A349" s="57" t="str">
        <f>A348</f>
        <v>صباغة</v>
      </c>
      <c r="B349" s="170"/>
      <c r="C349" s="171"/>
      <c r="D349" s="172"/>
      <c r="E349" s="56" t="s">
        <v>78</v>
      </c>
      <c r="F349" s="15">
        <v>0.1</v>
      </c>
      <c r="G349" s="56">
        <f>G346+G344+G342+G340+G338+G348</f>
        <v>90</v>
      </c>
      <c r="H349" s="55" t="str">
        <f>E337</f>
        <v>RP</v>
      </c>
      <c r="I349" s="55">
        <f>G350</f>
        <v>900</v>
      </c>
      <c r="J349" s="52">
        <f>(K349-(K349*I350))-L349</f>
        <v>0</v>
      </c>
      <c r="K349" s="53"/>
      <c r="L349" s="53"/>
      <c r="M349" s="53"/>
      <c r="N349" s="129">
        <f t="shared" si="31"/>
        <v>0</v>
      </c>
      <c r="O349" s="58">
        <f>(G349-(G349*I350))-L349</f>
        <v>90</v>
      </c>
      <c r="P349" s="175"/>
    </row>
    <row r="350" spans="1:16" ht="36.75" customHeight="1" thickTop="1" thickBot="1" x14ac:dyDescent="0.35">
      <c r="A350" s="57" t="str">
        <f t="shared" si="32"/>
        <v>صباغة</v>
      </c>
      <c r="B350" s="161" t="s">
        <v>29</v>
      </c>
      <c r="C350" s="162"/>
      <c r="D350" s="162"/>
      <c r="E350" s="162"/>
      <c r="F350" s="163"/>
      <c r="G350" s="54">
        <f>G345+G343+G341+G339+G337+G347</f>
        <v>900</v>
      </c>
      <c r="H350" s="2" t="s">
        <v>30</v>
      </c>
      <c r="I350" s="3">
        <v>0</v>
      </c>
      <c r="J350" s="52"/>
      <c r="K350" s="53"/>
      <c r="L350" s="53">
        <f>SUM(L337:L348)</f>
        <v>0</v>
      </c>
      <c r="M350" s="53"/>
      <c r="N350" s="129">
        <f t="shared" si="31"/>
        <v>0</v>
      </c>
      <c r="O350" s="58">
        <f>SUM(O337:O349)</f>
        <v>1080</v>
      </c>
      <c r="P350" s="175"/>
    </row>
    <row r="351" spans="1:16" ht="36.75" customHeight="1" thickTop="1" thickBot="1" x14ac:dyDescent="0.35">
      <c r="A351" s="90" t="s">
        <v>32</v>
      </c>
      <c r="B351" s="90" t="s">
        <v>0</v>
      </c>
      <c r="C351" s="90" t="s">
        <v>1</v>
      </c>
      <c r="D351" s="91" t="s">
        <v>2</v>
      </c>
      <c r="E351" s="90" t="s">
        <v>3</v>
      </c>
      <c r="F351" s="90" t="s">
        <v>11</v>
      </c>
      <c r="G351" s="90" t="s">
        <v>4</v>
      </c>
      <c r="H351" s="90" t="s">
        <v>15</v>
      </c>
      <c r="I351" s="90" t="s">
        <v>16</v>
      </c>
      <c r="J351" s="90" t="s">
        <v>56</v>
      </c>
      <c r="K351" s="90" t="s">
        <v>12</v>
      </c>
      <c r="L351" s="90" t="s">
        <v>13</v>
      </c>
      <c r="M351" s="90" t="s">
        <v>101</v>
      </c>
      <c r="N351" s="90" t="s">
        <v>100</v>
      </c>
      <c r="O351" s="90" t="s">
        <v>102</v>
      </c>
      <c r="P351" s="90" t="s">
        <v>5</v>
      </c>
    </row>
    <row r="352" spans="1:16" ht="36.75" customHeight="1" thickTop="1" thickBot="1" x14ac:dyDescent="0.35">
      <c r="A352" s="57" t="str">
        <f>A351</f>
        <v>صباغة</v>
      </c>
      <c r="B352" s="164" t="s">
        <v>153</v>
      </c>
      <c r="C352" s="166" t="s">
        <v>155</v>
      </c>
      <c r="D352" s="168" t="s">
        <v>47</v>
      </c>
      <c r="E352" s="57" t="s">
        <v>165</v>
      </c>
      <c r="F352" s="54" t="s">
        <v>117</v>
      </c>
      <c r="G352" s="57">
        <f>75+75</f>
        <v>150</v>
      </c>
      <c r="H352" s="54" t="s">
        <v>18</v>
      </c>
      <c r="I352" s="54" t="s">
        <v>75</v>
      </c>
      <c r="J352" s="154">
        <f>(K352-(K352*I365))-L365</f>
        <v>876.9</v>
      </c>
      <c r="K352" s="156">
        <f>876.9</f>
        <v>876.9</v>
      </c>
      <c r="L352" s="53"/>
      <c r="M352" s="53"/>
      <c r="N352" s="129">
        <f t="shared" ref="N352:N365" si="33">L352-M352</f>
        <v>0</v>
      </c>
      <c r="O352" s="58">
        <f>(G352-(G352*I365))-L352</f>
        <v>150</v>
      </c>
      <c r="P352" s="175" t="s">
        <v>57</v>
      </c>
    </row>
    <row r="353" spans="1:16" ht="36.75" customHeight="1" thickTop="1" thickBot="1" x14ac:dyDescent="0.35">
      <c r="A353" s="57" t="str">
        <f t="shared" ref="A353:A365" si="34">A352</f>
        <v>صباغة</v>
      </c>
      <c r="B353" s="165"/>
      <c r="C353" s="167"/>
      <c r="D353" s="169"/>
      <c r="E353" s="57" t="s">
        <v>78</v>
      </c>
      <c r="F353" s="54" t="s">
        <v>117</v>
      </c>
      <c r="G353" s="57">
        <f>G352*F364</f>
        <v>15</v>
      </c>
      <c r="H353" s="54"/>
      <c r="I353" s="54"/>
      <c r="J353" s="155"/>
      <c r="K353" s="157"/>
      <c r="L353" s="53"/>
      <c r="M353" s="53"/>
      <c r="N353" s="129">
        <f t="shared" si="33"/>
        <v>0</v>
      </c>
      <c r="O353" s="58">
        <f>(G353-(G353*I365))-L353</f>
        <v>15</v>
      </c>
      <c r="P353" s="175"/>
    </row>
    <row r="354" spans="1:16" ht="36.75" customHeight="1" thickTop="1" thickBot="1" x14ac:dyDescent="0.35">
      <c r="A354" s="57" t="str">
        <f t="shared" si="34"/>
        <v>صباغة</v>
      </c>
      <c r="B354" s="165"/>
      <c r="C354" s="167"/>
      <c r="D354" s="169"/>
      <c r="E354" s="57" t="str">
        <f>E352</f>
        <v>GR</v>
      </c>
      <c r="F354" s="54" t="s">
        <v>157</v>
      </c>
      <c r="G354" s="57">
        <f>G352</f>
        <v>150</v>
      </c>
      <c r="H354" s="54" t="s">
        <v>18</v>
      </c>
      <c r="I354" s="54" t="s">
        <v>75</v>
      </c>
      <c r="J354" s="155"/>
      <c r="K354" s="157"/>
      <c r="L354" s="53"/>
      <c r="M354" s="53"/>
      <c r="N354" s="129">
        <f t="shared" si="33"/>
        <v>0</v>
      </c>
      <c r="O354" s="58">
        <f>(G354-(G354*I365))-L354</f>
        <v>150</v>
      </c>
      <c r="P354" s="175"/>
    </row>
    <row r="355" spans="1:16" ht="36.75" customHeight="1" thickTop="1" thickBot="1" x14ac:dyDescent="0.35">
      <c r="A355" s="57" t="str">
        <f t="shared" si="34"/>
        <v>صباغة</v>
      </c>
      <c r="B355" s="165"/>
      <c r="C355" s="167"/>
      <c r="D355" s="169"/>
      <c r="E355" s="57" t="s">
        <v>78</v>
      </c>
      <c r="F355" s="54" t="s">
        <v>157</v>
      </c>
      <c r="G355" s="57">
        <f>G354*F364</f>
        <v>15</v>
      </c>
      <c r="H355" s="54"/>
      <c r="I355" s="54"/>
      <c r="J355" s="155"/>
      <c r="K355" s="157"/>
      <c r="L355" s="53"/>
      <c r="M355" s="53"/>
      <c r="N355" s="129">
        <f t="shared" si="33"/>
        <v>0</v>
      </c>
      <c r="O355" s="58">
        <f>(G355-(G355*I365))-L355</f>
        <v>15</v>
      </c>
      <c r="P355" s="175"/>
    </row>
    <row r="356" spans="1:16" ht="36.75" customHeight="1" thickTop="1" thickBot="1" x14ac:dyDescent="0.35">
      <c r="A356" s="57" t="str">
        <f t="shared" si="34"/>
        <v>صباغة</v>
      </c>
      <c r="B356" s="165"/>
      <c r="C356" s="167"/>
      <c r="D356" s="169"/>
      <c r="E356" s="57" t="str">
        <f>E352</f>
        <v>GR</v>
      </c>
      <c r="F356" s="54" t="s">
        <v>70</v>
      </c>
      <c r="G356" s="57">
        <f>G352</f>
        <v>150</v>
      </c>
      <c r="H356" s="54" t="s">
        <v>18</v>
      </c>
      <c r="I356" s="54" t="s">
        <v>75</v>
      </c>
      <c r="J356" s="155"/>
      <c r="K356" s="157"/>
      <c r="L356" s="53"/>
      <c r="M356" s="53"/>
      <c r="N356" s="129">
        <f t="shared" si="33"/>
        <v>0</v>
      </c>
      <c r="O356" s="58">
        <f>(G356-(G356*I365))-L356</f>
        <v>150</v>
      </c>
      <c r="P356" s="175"/>
    </row>
    <row r="357" spans="1:16" ht="36.75" customHeight="1" thickTop="1" thickBot="1" x14ac:dyDescent="0.35">
      <c r="A357" s="57" t="str">
        <f t="shared" si="34"/>
        <v>صباغة</v>
      </c>
      <c r="B357" s="165"/>
      <c r="C357" s="167"/>
      <c r="D357" s="169"/>
      <c r="E357" s="57" t="s">
        <v>78</v>
      </c>
      <c r="F357" s="54" t="s">
        <v>70</v>
      </c>
      <c r="G357" s="57">
        <f>G356*F364</f>
        <v>15</v>
      </c>
      <c r="H357" s="54"/>
      <c r="I357" s="54"/>
      <c r="J357" s="155"/>
      <c r="K357" s="157"/>
      <c r="L357" s="53"/>
      <c r="M357" s="53"/>
      <c r="N357" s="129">
        <f t="shared" si="33"/>
        <v>0</v>
      </c>
      <c r="O357" s="58">
        <f>(G357-(G357*I365))-L357</f>
        <v>15</v>
      </c>
      <c r="P357" s="175"/>
    </row>
    <row r="358" spans="1:16" ht="36.75" customHeight="1" thickTop="1" thickBot="1" x14ac:dyDescent="0.35">
      <c r="A358" s="57" t="str">
        <f t="shared" si="34"/>
        <v>صباغة</v>
      </c>
      <c r="B358" s="165"/>
      <c r="C358" s="167"/>
      <c r="D358" s="169"/>
      <c r="E358" s="57" t="str">
        <f>E352</f>
        <v>GR</v>
      </c>
      <c r="F358" s="54" t="s">
        <v>158</v>
      </c>
      <c r="G358" s="57">
        <f>G352</f>
        <v>150</v>
      </c>
      <c r="H358" s="54" t="s">
        <v>18</v>
      </c>
      <c r="I358" s="54" t="s">
        <v>75</v>
      </c>
      <c r="J358" s="155"/>
      <c r="K358" s="157"/>
      <c r="L358" s="53"/>
      <c r="M358" s="53"/>
      <c r="N358" s="129">
        <f t="shared" si="33"/>
        <v>0</v>
      </c>
      <c r="O358" s="58">
        <f>(G358-(G358*I365))-L358</f>
        <v>150</v>
      </c>
      <c r="P358" s="175"/>
    </row>
    <row r="359" spans="1:16" ht="36.75" customHeight="1" thickTop="1" thickBot="1" x14ac:dyDescent="0.35">
      <c r="A359" s="57" t="str">
        <f t="shared" si="34"/>
        <v>صباغة</v>
      </c>
      <c r="B359" s="165"/>
      <c r="C359" s="167"/>
      <c r="D359" s="169"/>
      <c r="E359" s="57" t="s">
        <v>78</v>
      </c>
      <c r="F359" s="54" t="s">
        <v>158</v>
      </c>
      <c r="G359" s="57">
        <f>G358*F364</f>
        <v>15</v>
      </c>
      <c r="H359" s="54"/>
      <c r="I359" s="54"/>
      <c r="J359" s="155"/>
      <c r="K359" s="157"/>
      <c r="L359" s="53"/>
      <c r="M359" s="53"/>
      <c r="N359" s="129">
        <f t="shared" si="33"/>
        <v>0</v>
      </c>
      <c r="O359" s="58">
        <f>(G359-(G359*I365))-L359</f>
        <v>15</v>
      </c>
      <c r="P359" s="175"/>
    </row>
    <row r="360" spans="1:16" ht="36.75" customHeight="1" thickTop="1" thickBot="1" x14ac:dyDescent="0.35">
      <c r="A360" s="57" t="str">
        <f t="shared" si="34"/>
        <v>صباغة</v>
      </c>
      <c r="B360" s="165"/>
      <c r="C360" s="167"/>
      <c r="D360" s="169"/>
      <c r="E360" s="57" t="str">
        <f>E352</f>
        <v>GR</v>
      </c>
      <c r="F360" s="54" t="s">
        <v>159</v>
      </c>
      <c r="G360" s="57">
        <f>G352</f>
        <v>150</v>
      </c>
      <c r="H360" s="54" t="s">
        <v>18</v>
      </c>
      <c r="I360" s="54" t="s">
        <v>75</v>
      </c>
      <c r="J360" s="155"/>
      <c r="K360" s="157"/>
      <c r="L360" s="53"/>
      <c r="M360" s="53"/>
      <c r="N360" s="129">
        <f t="shared" si="33"/>
        <v>0</v>
      </c>
      <c r="O360" s="58">
        <f>(G360-(G360*I365))-L360</f>
        <v>150</v>
      </c>
      <c r="P360" s="175"/>
    </row>
    <row r="361" spans="1:16" ht="36.75" customHeight="1" thickTop="1" thickBot="1" x14ac:dyDescent="0.35">
      <c r="A361" s="57" t="str">
        <f t="shared" si="34"/>
        <v>صباغة</v>
      </c>
      <c r="B361" s="165"/>
      <c r="C361" s="167"/>
      <c r="D361" s="169"/>
      <c r="E361" s="57" t="s">
        <v>78</v>
      </c>
      <c r="F361" s="54" t="s">
        <v>159</v>
      </c>
      <c r="G361" s="57">
        <f>G360*F364</f>
        <v>15</v>
      </c>
      <c r="H361" s="54"/>
      <c r="I361" s="54"/>
      <c r="J361" s="155"/>
      <c r="K361" s="157"/>
      <c r="L361" s="53"/>
      <c r="M361" s="53"/>
      <c r="N361" s="129">
        <f t="shared" si="33"/>
        <v>0</v>
      </c>
      <c r="O361" s="58">
        <f>(G361-(G361*I365))-L361</f>
        <v>15</v>
      </c>
      <c r="P361" s="175"/>
    </row>
    <row r="362" spans="1:16" ht="36.75" customHeight="1" thickTop="1" thickBot="1" x14ac:dyDescent="0.35">
      <c r="A362" s="57" t="str">
        <f>A361</f>
        <v>صباغة</v>
      </c>
      <c r="B362" s="165"/>
      <c r="C362" s="167"/>
      <c r="D362" s="169"/>
      <c r="E362" s="57" t="str">
        <f>E352</f>
        <v>GR</v>
      </c>
      <c r="F362" s="54" t="s">
        <v>160</v>
      </c>
      <c r="G362" s="57">
        <f>G352</f>
        <v>150</v>
      </c>
      <c r="H362" s="54" t="s">
        <v>18</v>
      </c>
      <c r="I362" s="54" t="s">
        <v>75</v>
      </c>
      <c r="J362" s="155"/>
      <c r="K362" s="157"/>
      <c r="L362" s="53"/>
      <c r="M362" s="53"/>
      <c r="N362" s="129">
        <f t="shared" si="33"/>
        <v>0</v>
      </c>
      <c r="O362" s="58">
        <f>(G362-(G362*I365))-L362</f>
        <v>150</v>
      </c>
      <c r="P362" s="175"/>
    </row>
    <row r="363" spans="1:16" ht="36.75" customHeight="1" thickTop="1" thickBot="1" x14ac:dyDescent="0.35">
      <c r="A363" s="57" t="str">
        <f>A362</f>
        <v>صباغة</v>
      </c>
      <c r="B363" s="165"/>
      <c r="C363" s="167"/>
      <c r="D363" s="169"/>
      <c r="E363" s="57" t="s">
        <v>78</v>
      </c>
      <c r="F363" s="54" t="s">
        <v>160</v>
      </c>
      <c r="G363" s="57">
        <f>G362*F364</f>
        <v>15</v>
      </c>
      <c r="H363" s="54"/>
      <c r="I363" s="54"/>
      <c r="J363" s="155"/>
      <c r="K363" s="157"/>
      <c r="L363" s="53"/>
      <c r="M363" s="53"/>
      <c r="N363" s="129">
        <f t="shared" si="33"/>
        <v>0</v>
      </c>
      <c r="O363" s="58">
        <f>(G363-(G363*I365))-L363</f>
        <v>15</v>
      </c>
      <c r="P363" s="175"/>
    </row>
    <row r="364" spans="1:16" ht="36.75" customHeight="1" thickTop="1" thickBot="1" x14ac:dyDescent="0.35">
      <c r="A364" s="57" t="str">
        <f>A363</f>
        <v>صباغة</v>
      </c>
      <c r="B364" s="170"/>
      <c r="C364" s="171"/>
      <c r="D364" s="172"/>
      <c r="E364" s="56" t="s">
        <v>78</v>
      </c>
      <c r="F364" s="15">
        <v>0.1</v>
      </c>
      <c r="G364" s="56">
        <f>G361+G359+G357+G355+G353+G363</f>
        <v>90</v>
      </c>
      <c r="H364" s="55" t="str">
        <f>E352</f>
        <v>GR</v>
      </c>
      <c r="I364" s="55">
        <f>G365</f>
        <v>900</v>
      </c>
      <c r="J364" s="52">
        <f>(K364-(K364*I365))-L364</f>
        <v>95.7</v>
      </c>
      <c r="K364" s="53">
        <f>95.7</f>
        <v>95.7</v>
      </c>
      <c r="L364" s="53"/>
      <c r="M364" s="53"/>
      <c r="N364" s="129">
        <f t="shared" si="33"/>
        <v>0</v>
      </c>
      <c r="O364" s="58">
        <f>(G364-(G364*I365))-L364</f>
        <v>90</v>
      </c>
      <c r="P364" s="175"/>
    </row>
    <row r="365" spans="1:16" ht="36.75" customHeight="1" thickTop="1" thickBot="1" x14ac:dyDescent="0.35">
      <c r="A365" s="57" t="str">
        <f t="shared" si="34"/>
        <v>صباغة</v>
      </c>
      <c r="B365" s="161" t="s">
        <v>29</v>
      </c>
      <c r="C365" s="162"/>
      <c r="D365" s="162"/>
      <c r="E365" s="162"/>
      <c r="F365" s="163"/>
      <c r="G365" s="54">
        <f>G360+G358+G356+G354+G352+G362</f>
        <v>900</v>
      </c>
      <c r="H365" s="2" t="s">
        <v>30</v>
      </c>
      <c r="I365" s="3">
        <v>0</v>
      </c>
      <c r="J365" s="52"/>
      <c r="K365" s="53"/>
      <c r="L365" s="53">
        <f>SUM(L352:L363)</f>
        <v>0</v>
      </c>
      <c r="M365" s="53"/>
      <c r="N365" s="129">
        <f t="shared" si="33"/>
        <v>0</v>
      </c>
      <c r="O365" s="58">
        <f>SUM(O352:O364)</f>
        <v>1080</v>
      </c>
      <c r="P365" s="175"/>
    </row>
    <row r="366" spans="1:16" ht="36.75" customHeight="1" thickTop="1" thickBot="1" x14ac:dyDescent="0.35">
      <c r="A366" s="90" t="s">
        <v>32</v>
      </c>
      <c r="B366" s="90" t="s">
        <v>0</v>
      </c>
      <c r="C366" s="90" t="s">
        <v>1</v>
      </c>
      <c r="D366" s="91" t="s">
        <v>2</v>
      </c>
      <c r="E366" s="90" t="s">
        <v>3</v>
      </c>
      <c r="F366" s="90" t="s">
        <v>11</v>
      </c>
      <c r="G366" s="90" t="s">
        <v>4</v>
      </c>
      <c r="H366" s="90" t="s">
        <v>15</v>
      </c>
      <c r="I366" s="90" t="s">
        <v>16</v>
      </c>
      <c r="J366" s="90" t="s">
        <v>56</v>
      </c>
      <c r="K366" s="90" t="s">
        <v>12</v>
      </c>
      <c r="L366" s="90" t="s">
        <v>13</v>
      </c>
      <c r="M366" s="90" t="s">
        <v>101</v>
      </c>
      <c r="N366" s="90" t="s">
        <v>100</v>
      </c>
      <c r="O366" s="90" t="s">
        <v>102</v>
      </c>
      <c r="P366" s="90" t="s">
        <v>5</v>
      </c>
    </row>
    <row r="367" spans="1:16" ht="36.75" customHeight="1" thickTop="1" thickBot="1" x14ac:dyDescent="0.35">
      <c r="A367" s="57" t="str">
        <f>A366</f>
        <v>صباغة</v>
      </c>
      <c r="B367" s="164" t="s">
        <v>153</v>
      </c>
      <c r="C367" s="166" t="s">
        <v>155</v>
      </c>
      <c r="D367" s="168" t="s">
        <v>47</v>
      </c>
      <c r="E367" s="57" t="s">
        <v>166</v>
      </c>
      <c r="F367" s="54" t="s">
        <v>117</v>
      </c>
      <c r="G367" s="57">
        <f>75+75</f>
        <v>150</v>
      </c>
      <c r="H367" s="54" t="s">
        <v>18</v>
      </c>
      <c r="I367" s="54" t="s">
        <v>75</v>
      </c>
      <c r="J367" s="154">
        <f>(K367-(K367*I380))-L380</f>
        <v>909.3</v>
      </c>
      <c r="K367" s="156">
        <f>909.3</f>
        <v>909.3</v>
      </c>
      <c r="L367" s="53"/>
      <c r="M367" s="53"/>
      <c r="N367" s="129">
        <f t="shared" ref="N367:N380" si="35">L367-M367</f>
        <v>0</v>
      </c>
      <c r="O367" s="58">
        <f>(G367-(G367*I380))-L367</f>
        <v>150</v>
      </c>
      <c r="P367" s="175" t="s">
        <v>57</v>
      </c>
    </row>
    <row r="368" spans="1:16" ht="36.75" customHeight="1" thickTop="1" thickBot="1" x14ac:dyDescent="0.35">
      <c r="A368" s="57" t="str">
        <f t="shared" ref="A368:A380" si="36">A367</f>
        <v>صباغة</v>
      </c>
      <c r="B368" s="165"/>
      <c r="C368" s="167"/>
      <c r="D368" s="169"/>
      <c r="E368" s="57" t="s">
        <v>78</v>
      </c>
      <c r="F368" s="54" t="s">
        <v>117</v>
      </c>
      <c r="G368" s="57">
        <f>G367*F379</f>
        <v>15</v>
      </c>
      <c r="H368" s="54"/>
      <c r="I368" s="54"/>
      <c r="J368" s="155"/>
      <c r="K368" s="157"/>
      <c r="L368" s="53"/>
      <c r="M368" s="53"/>
      <c r="N368" s="129">
        <f t="shared" si="35"/>
        <v>0</v>
      </c>
      <c r="O368" s="58">
        <f>(G368-(G368*I380))-L368</f>
        <v>15</v>
      </c>
      <c r="P368" s="175"/>
    </row>
    <row r="369" spans="1:16" ht="36.75" customHeight="1" thickTop="1" thickBot="1" x14ac:dyDescent="0.35">
      <c r="A369" s="57" t="str">
        <f t="shared" si="36"/>
        <v>صباغة</v>
      </c>
      <c r="B369" s="165"/>
      <c r="C369" s="167"/>
      <c r="D369" s="169"/>
      <c r="E369" s="57" t="str">
        <f>E367</f>
        <v>MR</v>
      </c>
      <c r="F369" s="54" t="s">
        <v>157</v>
      </c>
      <c r="G369" s="57">
        <f>G367</f>
        <v>150</v>
      </c>
      <c r="H369" s="54" t="s">
        <v>18</v>
      </c>
      <c r="I369" s="54" t="s">
        <v>75</v>
      </c>
      <c r="J369" s="155"/>
      <c r="K369" s="157"/>
      <c r="L369" s="53"/>
      <c r="M369" s="53"/>
      <c r="N369" s="129">
        <f t="shared" si="35"/>
        <v>0</v>
      </c>
      <c r="O369" s="58">
        <f>(G369-(G369*I380))-L369</f>
        <v>150</v>
      </c>
      <c r="P369" s="175"/>
    </row>
    <row r="370" spans="1:16" ht="36.75" customHeight="1" thickTop="1" thickBot="1" x14ac:dyDescent="0.35">
      <c r="A370" s="57" t="str">
        <f t="shared" si="36"/>
        <v>صباغة</v>
      </c>
      <c r="B370" s="165"/>
      <c r="C370" s="167"/>
      <c r="D370" s="169"/>
      <c r="E370" s="57" t="s">
        <v>78</v>
      </c>
      <c r="F370" s="54" t="s">
        <v>157</v>
      </c>
      <c r="G370" s="57">
        <f>G369*F379</f>
        <v>15</v>
      </c>
      <c r="H370" s="54"/>
      <c r="I370" s="54"/>
      <c r="J370" s="155"/>
      <c r="K370" s="157"/>
      <c r="L370" s="53"/>
      <c r="M370" s="53"/>
      <c r="N370" s="129">
        <f t="shared" si="35"/>
        <v>0</v>
      </c>
      <c r="O370" s="58">
        <f>(G370-(G370*I380))-L370</f>
        <v>15</v>
      </c>
      <c r="P370" s="175"/>
    </row>
    <row r="371" spans="1:16" ht="36.75" customHeight="1" thickTop="1" thickBot="1" x14ac:dyDescent="0.35">
      <c r="A371" s="57" t="str">
        <f t="shared" si="36"/>
        <v>صباغة</v>
      </c>
      <c r="B371" s="165"/>
      <c r="C371" s="167"/>
      <c r="D371" s="169"/>
      <c r="E371" s="57" t="str">
        <f>E367</f>
        <v>MR</v>
      </c>
      <c r="F371" s="54" t="s">
        <v>70</v>
      </c>
      <c r="G371" s="57">
        <f>G367</f>
        <v>150</v>
      </c>
      <c r="H371" s="54" t="s">
        <v>18</v>
      </c>
      <c r="I371" s="54" t="s">
        <v>75</v>
      </c>
      <c r="J371" s="155"/>
      <c r="K371" s="157"/>
      <c r="L371" s="53"/>
      <c r="M371" s="53"/>
      <c r="N371" s="129">
        <f t="shared" si="35"/>
        <v>0</v>
      </c>
      <c r="O371" s="58">
        <f>(G371-(G371*I380))-L371</f>
        <v>150</v>
      </c>
      <c r="P371" s="175"/>
    </row>
    <row r="372" spans="1:16" ht="36.75" customHeight="1" thickTop="1" thickBot="1" x14ac:dyDescent="0.35">
      <c r="A372" s="57" t="str">
        <f t="shared" si="36"/>
        <v>صباغة</v>
      </c>
      <c r="B372" s="165"/>
      <c r="C372" s="167"/>
      <c r="D372" s="169"/>
      <c r="E372" s="57" t="s">
        <v>78</v>
      </c>
      <c r="F372" s="54" t="s">
        <v>70</v>
      </c>
      <c r="G372" s="57">
        <f>G371*F379</f>
        <v>15</v>
      </c>
      <c r="H372" s="54"/>
      <c r="I372" s="54"/>
      <c r="J372" s="155"/>
      <c r="K372" s="157"/>
      <c r="L372" s="53"/>
      <c r="M372" s="53"/>
      <c r="N372" s="129">
        <f t="shared" si="35"/>
        <v>0</v>
      </c>
      <c r="O372" s="58">
        <f>(G372-(G372*I380))-L372</f>
        <v>15</v>
      </c>
      <c r="P372" s="175"/>
    </row>
    <row r="373" spans="1:16" ht="36.75" customHeight="1" thickTop="1" thickBot="1" x14ac:dyDescent="0.35">
      <c r="A373" s="57" t="str">
        <f t="shared" si="36"/>
        <v>صباغة</v>
      </c>
      <c r="B373" s="165"/>
      <c r="C373" s="167"/>
      <c r="D373" s="169"/>
      <c r="E373" s="57" t="str">
        <f>E367</f>
        <v>MR</v>
      </c>
      <c r="F373" s="54" t="s">
        <v>158</v>
      </c>
      <c r="G373" s="57">
        <f>G367</f>
        <v>150</v>
      </c>
      <c r="H373" s="54" t="s">
        <v>18</v>
      </c>
      <c r="I373" s="54" t="s">
        <v>75</v>
      </c>
      <c r="J373" s="155"/>
      <c r="K373" s="157"/>
      <c r="L373" s="53"/>
      <c r="M373" s="53"/>
      <c r="N373" s="129">
        <f t="shared" si="35"/>
        <v>0</v>
      </c>
      <c r="O373" s="58">
        <f>(G373-(G373*I380))-L373</f>
        <v>150</v>
      </c>
      <c r="P373" s="175"/>
    </row>
    <row r="374" spans="1:16" ht="36.75" customHeight="1" thickTop="1" thickBot="1" x14ac:dyDescent="0.35">
      <c r="A374" s="57" t="str">
        <f t="shared" si="36"/>
        <v>صباغة</v>
      </c>
      <c r="B374" s="165"/>
      <c r="C374" s="167"/>
      <c r="D374" s="169"/>
      <c r="E374" s="57" t="s">
        <v>78</v>
      </c>
      <c r="F374" s="54" t="s">
        <v>158</v>
      </c>
      <c r="G374" s="57">
        <f>G373*F379</f>
        <v>15</v>
      </c>
      <c r="H374" s="54"/>
      <c r="I374" s="54"/>
      <c r="J374" s="155"/>
      <c r="K374" s="157"/>
      <c r="L374" s="53"/>
      <c r="M374" s="53"/>
      <c r="N374" s="129">
        <f t="shared" si="35"/>
        <v>0</v>
      </c>
      <c r="O374" s="58">
        <f>(G374-(G374*I380))-L374</f>
        <v>15</v>
      </c>
      <c r="P374" s="175"/>
    </row>
    <row r="375" spans="1:16" ht="36.75" customHeight="1" thickTop="1" thickBot="1" x14ac:dyDescent="0.35">
      <c r="A375" s="57" t="str">
        <f t="shared" si="36"/>
        <v>صباغة</v>
      </c>
      <c r="B375" s="165"/>
      <c r="C375" s="167"/>
      <c r="D375" s="169"/>
      <c r="E375" s="57" t="str">
        <f>E367</f>
        <v>MR</v>
      </c>
      <c r="F375" s="54" t="s">
        <v>159</v>
      </c>
      <c r="G375" s="57">
        <f>G367</f>
        <v>150</v>
      </c>
      <c r="H375" s="54" t="s">
        <v>18</v>
      </c>
      <c r="I375" s="54" t="s">
        <v>75</v>
      </c>
      <c r="J375" s="155"/>
      <c r="K375" s="157"/>
      <c r="L375" s="53"/>
      <c r="M375" s="53"/>
      <c r="N375" s="129">
        <f t="shared" si="35"/>
        <v>0</v>
      </c>
      <c r="O375" s="58">
        <f>(G375-(G375*I380))-L375</f>
        <v>150</v>
      </c>
      <c r="P375" s="175"/>
    </row>
    <row r="376" spans="1:16" ht="36.75" customHeight="1" thickTop="1" thickBot="1" x14ac:dyDescent="0.35">
      <c r="A376" s="57" t="str">
        <f t="shared" si="36"/>
        <v>صباغة</v>
      </c>
      <c r="B376" s="165"/>
      <c r="C376" s="167"/>
      <c r="D376" s="169"/>
      <c r="E376" s="57" t="s">
        <v>78</v>
      </c>
      <c r="F376" s="54" t="s">
        <v>159</v>
      </c>
      <c r="G376" s="57">
        <f>G375*F379</f>
        <v>15</v>
      </c>
      <c r="H376" s="54"/>
      <c r="I376" s="54"/>
      <c r="J376" s="155"/>
      <c r="K376" s="157"/>
      <c r="L376" s="53"/>
      <c r="M376" s="53"/>
      <c r="N376" s="129">
        <f t="shared" si="35"/>
        <v>0</v>
      </c>
      <c r="O376" s="58">
        <f>(G376-(G376*I380))-L376</f>
        <v>15</v>
      </c>
      <c r="P376" s="175"/>
    </row>
    <row r="377" spans="1:16" ht="36.75" customHeight="1" thickTop="1" thickBot="1" x14ac:dyDescent="0.35">
      <c r="A377" s="57" t="str">
        <f>A376</f>
        <v>صباغة</v>
      </c>
      <c r="B377" s="165"/>
      <c r="C377" s="167"/>
      <c r="D377" s="169"/>
      <c r="E377" s="57" t="str">
        <f>E367</f>
        <v>MR</v>
      </c>
      <c r="F377" s="54" t="s">
        <v>160</v>
      </c>
      <c r="G377" s="57">
        <f>G367</f>
        <v>150</v>
      </c>
      <c r="H377" s="54" t="s">
        <v>18</v>
      </c>
      <c r="I377" s="54" t="s">
        <v>75</v>
      </c>
      <c r="J377" s="155"/>
      <c r="K377" s="157"/>
      <c r="L377" s="53"/>
      <c r="M377" s="53"/>
      <c r="N377" s="129">
        <f t="shared" si="35"/>
        <v>0</v>
      </c>
      <c r="O377" s="58">
        <f>(G377-(G377*I380))-L377</f>
        <v>150</v>
      </c>
      <c r="P377" s="175"/>
    </row>
    <row r="378" spans="1:16" ht="36.75" customHeight="1" thickTop="1" thickBot="1" x14ac:dyDescent="0.35">
      <c r="A378" s="57" t="str">
        <f>A377</f>
        <v>صباغة</v>
      </c>
      <c r="B378" s="165"/>
      <c r="C378" s="167"/>
      <c r="D378" s="169"/>
      <c r="E378" s="57" t="s">
        <v>78</v>
      </c>
      <c r="F378" s="54" t="s">
        <v>160</v>
      </c>
      <c r="G378" s="57">
        <f>G377*F379</f>
        <v>15</v>
      </c>
      <c r="H378" s="54"/>
      <c r="I378" s="54"/>
      <c r="J378" s="155"/>
      <c r="K378" s="157"/>
      <c r="L378" s="53"/>
      <c r="M378" s="53"/>
      <c r="N378" s="129">
        <f t="shared" si="35"/>
        <v>0</v>
      </c>
      <c r="O378" s="58">
        <f>(G378-(G378*I380))-L378</f>
        <v>15</v>
      </c>
      <c r="P378" s="175"/>
    </row>
    <row r="379" spans="1:16" ht="36.75" customHeight="1" thickTop="1" thickBot="1" x14ac:dyDescent="0.35">
      <c r="A379" s="57" t="str">
        <f>A378</f>
        <v>صباغة</v>
      </c>
      <c r="B379" s="170"/>
      <c r="C379" s="171"/>
      <c r="D379" s="172"/>
      <c r="E379" s="56" t="s">
        <v>78</v>
      </c>
      <c r="F379" s="15">
        <v>0.1</v>
      </c>
      <c r="G379" s="56">
        <f>G376+G374+G372+G370+G368+G378</f>
        <v>90</v>
      </c>
      <c r="H379" s="55" t="str">
        <f>E367</f>
        <v>MR</v>
      </c>
      <c r="I379" s="55">
        <f>G380</f>
        <v>900</v>
      </c>
      <c r="J379" s="52">
        <f>(K379-(K379*I380))-L379</f>
        <v>155.19999999999999</v>
      </c>
      <c r="K379" s="53">
        <f>93.2+62</f>
        <v>155.19999999999999</v>
      </c>
      <c r="L379" s="53"/>
      <c r="M379" s="53"/>
      <c r="N379" s="129">
        <f t="shared" si="35"/>
        <v>0</v>
      </c>
      <c r="O379" s="58">
        <f>(G379-(G379*I380))-L379</f>
        <v>90</v>
      </c>
      <c r="P379" s="175"/>
    </row>
    <row r="380" spans="1:16" ht="36.75" customHeight="1" thickTop="1" thickBot="1" x14ac:dyDescent="0.35">
      <c r="A380" s="57" t="str">
        <f t="shared" si="36"/>
        <v>صباغة</v>
      </c>
      <c r="B380" s="161" t="s">
        <v>29</v>
      </c>
      <c r="C380" s="162"/>
      <c r="D380" s="162"/>
      <c r="E380" s="162"/>
      <c r="F380" s="163"/>
      <c r="G380" s="54">
        <f>G375+G373+G371+G369+G367+G377</f>
        <v>900</v>
      </c>
      <c r="H380" s="2" t="s">
        <v>30</v>
      </c>
      <c r="I380" s="3">
        <v>0</v>
      </c>
      <c r="J380" s="52"/>
      <c r="K380" s="53"/>
      <c r="L380" s="53">
        <f>SUM(L367:L378)</f>
        <v>0</v>
      </c>
      <c r="M380" s="53"/>
      <c r="N380" s="129">
        <f t="shared" si="35"/>
        <v>0</v>
      </c>
      <c r="O380" s="58">
        <f>SUM(O367:O379)</f>
        <v>1080</v>
      </c>
      <c r="P380" s="175"/>
    </row>
    <row r="381" spans="1:16" ht="36.75" customHeight="1" thickTop="1" thickBot="1" x14ac:dyDescent="0.35">
      <c r="A381" s="90" t="s">
        <v>32</v>
      </c>
      <c r="B381" s="90" t="s">
        <v>0</v>
      </c>
      <c r="C381" s="90" t="s">
        <v>1</v>
      </c>
      <c r="D381" s="91" t="s">
        <v>2</v>
      </c>
      <c r="E381" s="90" t="s">
        <v>3</v>
      </c>
      <c r="F381" s="90" t="s">
        <v>11</v>
      </c>
      <c r="G381" s="90" t="s">
        <v>4</v>
      </c>
      <c r="H381" s="90" t="s">
        <v>15</v>
      </c>
      <c r="I381" s="90" t="s">
        <v>16</v>
      </c>
      <c r="J381" s="90" t="s">
        <v>56</v>
      </c>
      <c r="K381" s="90" t="s">
        <v>12</v>
      </c>
      <c r="L381" s="90" t="s">
        <v>13</v>
      </c>
      <c r="M381" s="90" t="s">
        <v>101</v>
      </c>
      <c r="N381" s="90" t="s">
        <v>100</v>
      </c>
      <c r="O381" s="90" t="s">
        <v>102</v>
      </c>
      <c r="P381" s="90" t="s">
        <v>5</v>
      </c>
    </row>
    <row r="382" spans="1:16" ht="36.75" customHeight="1" thickTop="1" thickBot="1" x14ac:dyDescent="0.35">
      <c r="A382" s="57" t="str">
        <f>A381</f>
        <v>صباغة</v>
      </c>
      <c r="B382" s="164" t="s">
        <v>153</v>
      </c>
      <c r="C382" s="166" t="s">
        <v>155</v>
      </c>
      <c r="D382" s="168" t="s">
        <v>47</v>
      </c>
      <c r="E382" s="57" t="s">
        <v>167</v>
      </c>
      <c r="F382" s="54" t="s">
        <v>117</v>
      </c>
      <c r="G382" s="57">
        <f>75+75</f>
        <v>150</v>
      </c>
      <c r="H382" s="54" t="s">
        <v>18</v>
      </c>
      <c r="I382" s="54" t="s">
        <v>75</v>
      </c>
      <c r="J382" s="154">
        <f>(K382-(K382*I395))-L395</f>
        <v>922.6</v>
      </c>
      <c r="K382" s="156">
        <f>922.6</f>
        <v>922.6</v>
      </c>
      <c r="L382" s="53"/>
      <c r="M382" s="53"/>
      <c r="N382" s="129">
        <f>L382-M382</f>
        <v>0</v>
      </c>
      <c r="O382" s="58">
        <f>(G382-(G382*I395))-L382</f>
        <v>150</v>
      </c>
      <c r="P382" s="175" t="s">
        <v>57</v>
      </c>
    </row>
    <row r="383" spans="1:16" ht="36.75" customHeight="1" thickTop="1" thickBot="1" x14ac:dyDescent="0.35">
      <c r="A383" s="57" t="str">
        <f t="shared" ref="A383:A395" si="37">A382</f>
        <v>صباغة</v>
      </c>
      <c r="B383" s="165"/>
      <c r="C383" s="167"/>
      <c r="D383" s="169"/>
      <c r="E383" s="57" t="s">
        <v>78</v>
      </c>
      <c r="F383" s="54" t="s">
        <v>117</v>
      </c>
      <c r="G383" s="57">
        <f>G382*F394</f>
        <v>15</v>
      </c>
      <c r="H383" s="54"/>
      <c r="I383" s="54"/>
      <c r="J383" s="155"/>
      <c r="K383" s="157"/>
      <c r="L383" s="53"/>
      <c r="M383" s="53"/>
      <c r="N383" s="129">
        <f t="shared" ref="N383:N395" si="38">L383-M383</f>
        <v>0</v>
      </c>
      <c r="O383" s="58">
        <f>(G383-(G383*I395))-L383</f>
        <v>15</v>
      </c>
      <c r="P383" s="175"/>
    </row>
    <row r="384" spans="1:16" ht="36.75" customHeight="1" thickTop="1" thickBot="1" x14ac:dyDescent="0.35">
      <c r="A384" s="57" t="str">
        <f t="shared" si="37"/>
        <v>صباغة</v>
      </c>
      <c r="B384" s="165"/>
      <c r="C384" s="167"/>
      <c r="D384" s="169"/>
      <c r="E384" s="57" t="str">
        <f>E382</f>
        <v>SV</v>
      </c>
      <c r="F384" s="54" t="s">
        <v>157</v>
      </c>
      <c r="G384" s="57">
        <f>G382</f>
        <v>150</v>
      </c>
      <c r="H384" s="54" t="s">
        <v>18</v>
      </c>
      <c r="I384" s="54" t="s">
        <v>75</v>
      </c>
      <c r="J384" s="155"/>
      <c r="K384" s="157"/>
      <c r="L384" s="53"/>
      <c r="M384" s="53"/>
      <c r="N384" s="129">
        <f t="shared" si="38"/>
        <v>0</v>
      </c>
      <c r="O384" s="58">
        <f>(G384-(G384*I395))-L384</f>
        <v>150</v>
      </c>
      <c r="P384" s="175"/>
    </row>
    <row r="385" spans="1:16" ht="36.75" customHeight="1" thickTop="1" thickBot="1" x14ac:dyDescent="0.35">
      <c r="A385" s="57" t="str">
        <f t="shared" si="37"/>
        <v>صباغة</v>
      </c>
      <c r="B385" s="165"/>
      <c r="C385" s="167"/>
      <c r="D385" s="169"/>
      <c r="E385" s="57" t="s">
        <v>78</v>
      </c>
      <c r="F385" s="54" t="s">
        <v>157</v>
      </c>
      <c r="G385" s="57">
        <f>G384*F394</f>
        <v>15</v>
      </c>
      <c r="H385" s="54"/>
      <c r="I385" s="54"/>
      <c r="J385" s="155"/>
      <c r="K385" s="157"/>
      <c r="L385" s="53"/>
      <c r="M385" s="53"/>
      <c r="N385" s="129">
        <f t="shared" si="38"/>
        <v>0</v>
      </c>
      <c r="O385" s="58">
        <f>(G385-(G385*I395))-L385</f>
        <v>15</v>
      </c>
      <c r="P385" s="175"/>
    </row>
    <row r="386" spans="1:16" ht="36.75" customHeight="1" thickTop="1" thickBot="1" x14ac:dyDescent="0.35">
      <c r="A386" s="57" t="str">
        <f t="shared" si="37"/>
        <v>صباغة</v>
      </c>
      <c r="B386" s="165"/>
      <c r="C386" s="167"/>
      <c r="D386" s="169"/>
      <c r="E386" s="57" t="str">
        <f>E382</f>
        <v>SV</v>
      </c>
      <c r="F386" s="54" t="s">
        <v>70</v>
      </c>
      <c r="G386" s="57">
        <f>G382</f>
        <v>150</v>
      </c>
      <c r="H386" s="54" t="s">
        <v>18</v>
      </c>
      <c r="I386" s="54" t="s">
        <v>75</v>
      </c>
      <c r="J386" s="155"/>
      <c r="K386" s="157"/>
      <c r="L386" s="53"/>
      <c r="M386" s="53"/>
      <c r="N386" s="129">
        <f t="shared" si="38"/>
        <v>0</v>
      </c>
      <c r="O386" s="58">
        <f>(G386-(G386*I395))-L386</f>
        <v>150</v>
      </c>
      <c r="P386" s="175"/>
    </row>
    <row r="387" spans="1:16" ht="36.75" customHeight="1" thickTop="1" thickBot="1" x14ac:dyDescent="0.35">
      <c r="A387" s="57" t="str">
        <f t="shared" si="37"/>
        <v>صباغة</v>
      </c>
      <c r="B387" s="165"/>
      <c r="C387" s="167"/>
      <c r="D387" s="169"/>
      <c r="E387" s="57" t="s">
        <v>78</v>
      </c>
      <c r="F387" s="54" t="s">
        <v>70</v>
      </c>
      <c r="G387" s="57">
        <f>G386*F394</f>
        <v>15</v>
      </c>
      <c r="H387" s="54"/>
      <c r="I387" s="54"/>
      <c r="J387" s="155"/>
      <c r="K387" s="157"/>
      <c r="L387" s="53"/>
      <c r="M387" s="53"/>
      <c r="N387" s="129">
        <f t="shared" si="38"/>
        <v>0</v>
      </c>
      <c r="O387" s="58">
        <f>(G387-(G387*I395))-L387</f>
        <v>15</v>
      </c>
      <c r="P387" s="175"/>
    </row>
    <row r="388" spans="1:16" ht="36.75" customHeight="1" thickTop="1" thickBot="1" x14ac:dyDescent="0.35">
      <c r="A388" s="57" t="str">
        <f t="shared" si="37"/>
        <v>صباغة</v>
      </c>
      <c r="B388" s="165"/>
      <c r="C388" s="167"/>
      <c r="D388" s="169"/>
      <c r="E388" s="57" t="str">
        <f>E382</f>
        <v>SV</v>
      </c>
      <c r="F388" s="54" t="s">
        <v>158</v>
      </c>
      <c r="G388" s="57">
        <f>G382</f>
        <v>150</v>
      </c>
      <c r="H388" s="54" t="s">
        <v>18</v>
      </c>
      <c r="I388" s="54" t="s">
        <v>75</v>
      </c>
      <c r="J388" s="155"/>
      <c r="K388" s="157"/>
      <c r="L388" s="53"/>
      <c r="M388" s="53"/>
      <c r="N388" s="129">
        <f t="shared" si="38"/>
        <v>0</v>
      </c>
      <c r="O388" s="58">
        <f>(G388-(G388*I395))-L388</f>
        <v>150</v>
      </c>
      <c r="P388" s="175"/>
    </row>
    <row r="389" spans="1:16" ht="36.75" customHeight="1" thickTop="1" thickBot="1" x14ac:dyDescent="0.35">
      <c r="A389" s="57" t="str">
        <f t="shared" si="37"/>
        <v>صباغة</v>
      </c>
      <c r="B389" s="165"/>
      <c r="C389" s="167"/>
      <c r="D389" s="169"/>
      <c r="E389" s="57" t="s">
        <v>78</v>
      </c>
      <c r="F389" s="54" t="s">
        <v>158</v>
      </c>
      <c r="G389" s="57">
        <f>G388*F394</f>
        <v>15</v>
      </c>
      <c r="H389" s="54"/>
      <c r="I389" s="54"/>
      <c r="J389" s="155"/>
      <c r="K389" s="157"/>
      <c r="L389" s="53"/>
      <c r="M389" s="53"/>
      <c r="N389" s="129">
        <f t="shared" si="38"/>
        <v>0</v>
      </c>
      <c r="O389" s="58">
        <f>(G389-(G389*I395))-L389</f>
        <v>15</v>
      </c>
      <c r="P389" s="175"/>
    </row>
    <row r="390" spans="1:16" ht="36.75" customHeight="1" thickTop="1" thickBot="1" x14ac:dyDescent="0.35">
      <c r="A390" s="57" t="str">
        <f t="shared" si="37"/>
        <v>صباغة</v>
      </c>
      <c r="B390" s="165"/>
      <c r="C390" s="167"/>
      <c r="D390" s="169"/>
      <c r="E390" s="57" t="str">
        <f>E382</f>
        <v>SV</v>
      </c>
      <c r="F390" s="54" t="s">
        <v>159</v>
      </c>
      <c r="G390" s="57">
        <f>G382</f>
        <v>150</v>
      </c>
      <c r="H390" s="54" t="s">
        <v>18</v>
      </c>
      <c r="I390" s="54" t="s">
        <v>75</v>
      </c>
      <c r="J390" s="155"/>
      <c r="K390" s="157"/>
      <c r="L390" s="53"/>
      <c r="M390" s="53"/>
      <c r="N390" s="129">
        <f t="shared" si="38"/>
        <v>0</v>
      </c>
      <c r="O390" s="58">
        <f>(G390-(G390*I395))-L390</f>
        <v>150</v>
      </c>
      <c r="P390" s="175"/>
    </row>
    <row r="391" spans="1:16" ht="36.75" customHeight="1" thickTop="1" thickBot="1" x14ac:dyDescent="0.35">
      <c r="A391" s="57" t="str">
        <f t="shared" si="37"/>
        <v>صباغة</v>
      </c>
      <c r="B391" s="165"/>
      <c r="C391" s="167"/>
      <c r="D391" s="169"/>
      <c r="E391" s="57" t="s">
        <v>78</v>
      </c>
      <c r="F391" s="54" t="s">
        <v>159</v>
      </c>
      <c r="G391" s="57">
        <f>G390*F394</f>
        <v>15</v>
      </c>
      <c r="H391" s="54"/>
      <c r="I391" s="54"/>
      <c r="J391" s="155"/>
      <c r="K391" s="157"/>
      <c r="L391" s="53"/>
      <c r="M391" s="53"/>
      <c r="N391" s="129">
        <f t="shared" si="38"/>
        <v>0</v>
      </c>
      <c r="O391" s="58">
        <f>(G391-(G391*I395))-L391</f>
        <v>15</v>
      </c>
      <c r="P391" s="175"/>
    </row>
    <row r="392" spans="1:16" ht="36.75" customHeight="1" thickTop="1" thickBot="1" x14ac:dyDescent="0.35">
      <c r="A392" s="57" t="str">
        <f>A391</f>
        <v>صباغة</v>
      </c>
      <c r="B392" s="165"/>
      <c r="C392" s="167"/>
      <c r="D392" s="169"/>
      <c r="E392" s="57" t="str">
        <f>E382</f>
        <v>SV</v>
      </c>
      <c r="F392" s="54" t="s">
        <v>160</v>
      </c>
      <c r="G392" s="57">
        <f>G382</f>
        <v>150</v>
      </c>
      <c r="H392" s="54" t="s">
        <v>18</v>
      </c>
      <c r="I392" s="54" t="s">
        <v>75</v>
      </c>
      <c r="J392" s="155"/>
      <c r="K392" s="157"/>
      <c r="L392" s="53"/>
      <c r="M392" s="53"/>
      <c r="N392" s="129">
        <f t="shared" si="38"/>
        <v>0</v>
      </c>
      <c r="O392" s="58">
        <f>(G392-(G392*I395))-L392</f>
        <v>150</v>
      </c>
      <c r="P392" s="175"/>
    </row>
    <row r="393" spans="1:16" ht="36.75" customHeight="1" thickTop="1" thickBot="1" x14ac:dyDescent="0.35">
      <c r="A393" s="57" t="str">
        <f>A392</f>
        <v>صباغة</v>
      </c>
      <c r="B393" s="165"/>
      <c r="C393" s="167"/>
      <c r="D393" s="169"/>
      <c r="E393" s="57" t="s">
        <v>78</v>
      </c>
      <c r="F393" s="54" t="s">
        <v>160</v>
      </c>
      <c r="G393" s="57">
        <f>G392*F394</f>
        <v>15</v>
      </c>
      <c r="H393" s="54"/>
      <c r="I393" s="54"/>
      <c r="J393" s="155"/>
      <c r="K393" s="157"/>
      <c r="L393" s="53"/>
      <c r="M393" s="53"/>
      <c r="N393" s="129">
        <f t="shared" si="38"/>
        <v>0</v>
      </c>
      <c r="O393" s="58">
        <f>(G393-(G393*I395))-L393</f>
        <v>15</v>
      </c>
      <c r="P393" s="175"/>
    </row>
    <row r="394" spans="1:16" ht="36.75" customHeight="1" thickTop="1" thickBot="1" x14ac:dyDescent="0.35">
      <c r="A394" s="57" t="str">
        <f>A393</f>
        <v>صباغة</v>
      </c>
      <c r="B394" s="170"/>
      <c r="C394" s="171"/>
      <c r="D394" s="172"/>
      <c r="E394" s="56" t="s">
        <v>78</v>
      </c>
      <c r="F394" s="15">
        <v>0.1</v>
      </c>
      <c r="G394" s="56">
        <f>G391+G389+G387+G385+G383+G393</f>
        <v>90</v>
      </c>
      <c r="H394" s="55" t="str">
        <f>E382</f>
        <v>SV</v>
      </c>
      <c r="I394" s="55">
        <f>G395</f>
        <v>900</v>
      </c>
      <c r="J394" s="52">
        <f>(K394-(K394*I395))-L394</f>
        <v>174</v>
      </c>
      <c r="K394" s="53">
        <f>174</f>
        <v>174</v>
      </c>
      <c r="L394" s="53"/>
      <c r="M394" s="53"/>
      <c r="N394" s="129">
        <f t="shared" si="38"/>
        <v>0</v>
      </c>
      <c r="O394" s="58">
        <f>(G394-(G394*I395))-L394</f>
        <v>90</v>
      </c>
      <c r="P394" s="175"/>
    </row>
    <row r="395" spans="1:16" ht="36.75" customHeight="1" thickTop="1" thickBot="1" x14ac:dyDescent="0.35">
      <c r="A395" s="57" t="str">
        <f t="shared" si="37"/>
        <v>صباغة</v>
      </c>
      <c r="B395" s="161" t="s">
        <v>29</v>
      </c>
      <c r="C395" s="162"/>
      <c r="D395" s="162" t="s">
        <v>192</v>
      </c>
      <c r="E395" s="162"/>
      <c r="F395" s="163"/>
      <c r="G395" s="54">
        <f>G390+G388+G386+G384+G382+G392</f>
        <v>900</v>
      </c>
      <c r="H395" s="2" t="s">
        <v>30</v>
      </c>
      <c r="I395" s="3">
        <v>0</v>
      </c>
      <c r="J395" s="52"/>
      <c r="K395" s="53"/>
      <c r="L395" s="53">
        <f>SUM(L382:L393)</f>
        <v>0</v>
      </c>
      <c r="M395" s="53"/>
      <c r="N395" s="129">
        <f t="shared" si="38"/>
        <v>0</v>
      </c>
      <c r="O395" s="58">
        <f>SUM(O382:O394)</f>
        <v>1080</v>
      </c>
      <c r="P395" s="175"/>
    </row>
    <row r="396" spans="1:16" ht="36.75" customHeight="1" thickTop="1" thickBot="1" x14ac:dyDescent="0.35">
      <c r="A396" s="90" t="s">
        <v>32</v>
      </c>
      <c r="B396" s="90" t="s">
        <v>0</v>
      </c>
      <c r="C396" s="90" t="s">
        <v>1</v>
      </c>
      <c r="D396" s="91" t="s">
        <v>2</v>
      </c>
      <c r="E396" s="90" t="s">
        <v>3</v>
      </c>
      <c r="F396" s="90" t="s">
        <v>11</v>
      </c>
      <c r="G396" s="90" t="s">
        <v>4</v>
      </c>
      <c r="H396" s="90" t="s">
        <v>15</v>
      </c>
      <c r="I396" s="90" t="s">
        <v>16</v>
      </c>
      <c r="J396" s="90" t="s">
        <v>56</v>
      </c>
      <c r="K396" s="90" t="s">
        <v>12</v>
      </c>
      <c r="L396" s="90" t="s">
        <v>13</v>
      </c>
      <c r="M396" s="90" t="s">
        <v>101</v>
      </c>
      <c r="N396" s="90" t="s">
        <v>100</v>
      </c>
      <c r="O396" s="90" t="s">
        <v>102</v>
      </c>
      <c r="P396" s="90" t="s">
        <v>5</v>
      </c>
    </row>
    <row r="397" spans="1:16" ht="36.75" customHeight="1" thickTop="1" thickBot="1" x14ac:dyDescent="0.35">
      <c r="A397" s="57" t="str">
        <f>A396</f>
        <v>صباغة</v>
      </c>
      <c r="B397" s="164" t="s">
        <v>153</v>
      </c>
      <c r="C397" s="166" t="s">
        <v>155</v>
      </c>
      <c r="D397" s="168" t="s">
        <v>47</v>
      </c>
      <c r="E397" s="57" t="s">
        <v>168</v>
      </c>
      <c r="F397" s="54" t="s">
        <v>117</v>
      </c>
      <c r="G397" s="57">
        <f>200+100</f>
        <v>300</v>
      </c>
      <c r="H397" s="54" t="s">
        <v>18</v>
      </c>
      <c r="I397" s="54" t="s">
        <v>75</v>
      </c>
      <c r="J397" s="154">
        <f>(K397-(K397*I410))-L410</f>
        <v>1904.1000000000001</v>
      </c>
      <c r="K397" s="156">
        <f>898.2+331.2+674.7</f>
        <v>1904.1000000000001</v>
      </c>
      <c r="L397" s="53"/>
      <c r="M397" s="53"/>
      <c r="N397" s="129">
        <f>L397-M397</f>
        <v>0</v>
      </c>
      <c r="O397" s="58">
        <f>(G397-(G397*I410))-L397</f>
        <v>300</v>
      </c>
      <c r="P397" s="175" t="s">
        <v>57</v>
      </c>
    </row>
    <row r="398" spans="1:16" ht="36.75" customHeight="1" thickTop="1" thickBot="1" x14ac:dyDescent="0.35">
      <c r="A398" s="57" t="str">
        <f t="shared" ref="A398:A410" si="39">A397</f>
        <v>صباغة</v>
      </c>
      <c r="B398" s="165"/>
      <c r="C398" s="167"/>
      <c r="D398" s="169"/>
      <c r="E398" s="57" t="s">
        <v>78</v>
      </c>
      <c r="F398" s="54" t="s">
        <v>117</v>
      </c>
      <c r="G398" s="57">
        <f>G397*F409</f>
        <v>30</v>
      </c>
      <c r="H398" s="54"/>
      <c r="I398" s="54"/>
      <c r="J398" s="155"/>
      <c r="K398" s="157"/>
      <c r="L398" s="53"/>
      <c r="M398" s="53"/>
      <c r="N398" s="129">
        <f t="shared" ref="N398:N410" si="40">L398-M398</f>
        <v>0</v>
      </c>
      <c r="O398" s="58">
        <f>(G398-(G398*I410))-L398</f>
        <v>30</v>
      </c>
      <c r="P398" s="175"/>
    </row>
    <row r="399" spans="1:16" ht="36.75" customHeight="1" thickTop="1" thickBot="1" x14ac:dyDescent="0.35">
      <c r="A399" s="57" t="str">
        <f t="shared" si="39"/>
        <v>صباغة</v>
      </c>
      <c r="B399" s="165"/>
      <c r="C399" s="167"/>
      <c r="D399" s="169"/>
      <c r="E399" s="57" t="str">
        <f>E397</f>
        <v>بوكس ميش (لانسل)</v>
      </c>
      <c r="F399" s="54" t="s">
        <v>157</v>
      </c>
      <c r="G399" s="57">
        <f>G397</f>
        <v>300</v>
      </c>
      <c r="H399" s="54" t="s">
        <v>18</v>
      </c>
      <c r="I399" s="54" t="s">
        <v>75</v>
      </c>
      <c r="J399" s="155"/>
      <c r="K399" s="157"/>
      <c r="L399" s="53"/>
      <c r="M399" s="53"/>
      <c r="N399" s="129">
        <f t="shared" si="40"/>
        <v>0</v>
      </c>
      <c r="O399" s="58">
        <f>(G399-(G399*I410))-L399</f>
        <v>300</v>
      </c>
      <c r="P399" s="175"/>
    </row>
    <row r="400" spans="1:16" ht="36.75" customHeight="1" thickTop="1" thickBot="1" x14ac:dyDescent="0.35">
      <c r="A400" s="57" t="str">
        <f t="shared" si="39"/>
        <v>صباغة</v>
      </c>
      <c r="B400" s="165"/>
      <c r="C400" s="167"/>
      <c r="D400" s="169"/>
      <c r="E400" s="57" t="s">
        <v>78</v>
      </c>
      <c r="F400" s="54" t="s">
        <v>157</v>
      </c>
      <c r="G400" s="57">
        <f>G399*F409</f>
        <v>30</v>
      </c>
      <c r="H400" s="54"/>
      <c r="I400" s="54"/>
      <c r="J400" s="155"/>
      <c r="K400" s="157"/>
      <c r="L400" s="53"/>
      <c r="M400" s="53"/>
      <c r="N400" s="129">
        <f t="shared" si="40"/>
        <v>0</v>
      </c>
      <c r="O400" s="58">
        <f>(G400-(G400*I410))-L400</f>
        <v>30</v>
      </c>
      <c r="P400" s="175"/>
    </row>
    <row r="401" spans="1:16" ht="36.75" customHeight="1" thickTop="1" thickBot="1" x14ac:dyDescent="0.35">
      <c r="A401" s="57" t="str">
        <f t="shared" si="39"/>
        <v>صباغة</v>
      </c>
      <c r="B401" s="165"/>
      <c r="C401" s="167"/>
      <c r="D401" s="169"/>
      <c r="E401" s="57" t="str">
        <f>E397</f>
        <v>بوكس ميش (لانسل)</v>
      </c>
      <c r="F401" s="54" t="s">
        <v>70</v>
      </c>
      <c r="G401" s="57">
        <f>G397</f>
        <v>300</v>
      </c>
      <c r="H401" s="54" t="s">
        <v>18</v>
      </c>
      <c r="I401" s="54" t="s">
        <v>75</v>
      </c>
      <c r="J401" s="155"/>
      <c r="K401" s="157"/>
      <c r="L401" s="53"/>
      <c r="M401" s="53"/>
      <c r="N401" s="129">
        <f t="shared" si="40"/>
        <v>0</v>
      </c>
      <c r="O401" s="58">
        <f>(G401-(G401*I410))-L401</f>
        <v>300</v>
      </c>
      <c r="P401" s="175"/>
    </row>
    <row r="402" spans="1:16" ht="36.75" customHeight="1" thickTop="1" thickBot="1" x14ac:dyDescent="0.35">
      <c r="A402" s="57" t="str">
        <f t="shared" si="39"/>
        <v>صباغة</v>
      </c>
      <c r="B402" s="165"/>
      <c r="C402" s="167"/>
      <c r="D402" s="169"/>
      <c r="E402" s="57" t="s">
        <v>78</v>
      </c>
      <c r="F402" s="54" t="s">
        <v>70</v>
      </c>
      <c r="G402" s="57">
        <f>G401*F409</f>
        <v>30</v>
      </c>
      <c r="H402" s="54"/>
      <c r="I402" s="54"/>
      <c r="J402" s="155"/>
      <c r="K402" s="157"/>
      <c r="L402" s="53"/>
      <c r="M402" s="53"/>
      <c r="N402" s="129">
        <f t="shared" si="40"/>
        <v>0</v>
      </c>
      <c r="O402" s="58">
        <f>(G402-(G402*I410))-L402</f>
        <v>30</v>
      </c>
      <c r="P402" s="175"/>
    </row>
    <row r="403" spans="1:16" ht="36.75" customHeight="1" thickTop="1" thickBot="1" x14ac:dyDescent="0.35">
      <c r="A403" s="57" t="str">
        <f t="shared" si="39"/>
        <v>صباغة</v>
      </c>
      <c r="B403" s="165"/>
      <c r="C403" s="167"/>
      <c r="D403" s="169"/>
      <c r="E403" s="57" t="str">
        <f>E397</f>
        <v>بوكس ميش (لانسل)</v>
      </c>
      <c r="F403" s="54" t="s">
        <v>158</v>
      </c>
      <c r="G403" s="57">
        <f>G397</f>
        <v>300</v>
      </c>
      <c r="H403" s="54" t="s">
        <v>18</v>
      </c>
      <c r="I403" s="54" t="s">
        <v>75</v>
      </c>
      <c r="J403" s="155"/>
      <c r="K403" s="157"/>
      <c r="L403" s="53"/>
      <c r="M403" s="53"/>
      <c r="N403" s="129">
        <f t="shared" si="40"/>
        <v>0</v>
      </c>
      <c r="O403" s="58">
        <f>(G403-(G403*I410))-L403</f>
        <v>300</v>
      </c>
      <c r="P403" s="175"/>
    </row>
    <row r="404" spans="1:16" ht="36.75" customHeight="1" thickTop="1" thickBot="1" x14ac:dyDescent="0.35">
      <c r="A404" s="57" t="str">
        <f t="shared" si="39"/>
        <v>صباغة</v>
      </c>
      <c r="B404" s="165"/>
      <c r="C404" s="167"/>
      <c r="D404" s="169"/>
      <c r="E404" s="57" t="s">
        <v>78</v>
      </c>
      <c r="F404" s="54" t="s">
        <v>158</v>
      </c>
      <c r="G404" s="57">
        <f>G403*F409</f>
        <v>30</v>
      </c>
      <c r="H404" s="54"/>
      <c r="I404" s="54"/>
      <c r="J404" s="155"/>
      <c r="K404" s="157"/>
      <c r="L404" s="53"/>
      <c r="M404" s="53"/>
      <c r="N404" s="129">
        <f t="shared" si="40"/>
        <v>0</v>
      </c>
      <c r="O404" s="58">
        <f>(G404-(G404*I410))-L404</f>
        <v>30</v>
      </c>
      <c r="P404" s="175"/>
    </row>
    <row r="405" spans="1:16" ht="36.75" customHeight="1" thickTop="1" thickBot="1" x14ac:dyDescent="0.35">
      <c r="A405" s="57" t="str">
        <f t="shared" si="39"/>
        <v>صباغة</v>
      </c>
      <c r="B405" s="165"/>
      <c r="C405" s="167"/>
      <c r="D405" s="169"/>
      <c r="E405" s="57" t="str">
        <f>E397</f>
        <v>بوكس ميش (لانسل)</v>
      </c>
      <c r="F405" s="54" t="s">
        <v>159</v>
      </c>
      <c r="G405" s="57">
        <f>G397</f>
        <v>300</v>
      </c>
      <c r="H405" s="54" t="s">
        <v>18</v>
      </c>
      <c r="I405" s="54" t="s">
        <v>75</v>
      </c>
      <c r="J405" s="155"/>
      <c r="K405" s="157"/>
      <c r="L405" s="53"/>
      <c r="M405" s="53"/>
      <c r="N405" s="129">
        <f t="shared" si="40"/>
        <v>0</v>
      </c>
      <c r="O405" s="58">
        <f>(G405-(G405*I410))-L405</f>
        <v>300</v>
      </c>
      <c r="P405" s="175"/>
    </row>
    <row r="406" spans="1:16" ht="36.75" customHeight="1" thickTop="1" thickBot="1" x14ac:dyDescent="0.35">
      <c r="A406" s="57" t="str">
        <f t="shared" si="39"/>
        <v>صباغة</v>
      </c>
      <c r="B406" s="165"/>
      <c r="C406" s="167"/>
      <c r="D406" s="169"/>
      <c r="E406" s="57" t="s">
        <v>78</v>
      </c>
      <c r="F406" s="54" t="s">
        <v>159</v>
      </c>
      <c r="G406" s="57">
        <f>G405*F409</f>
        <v>30</v>
      </c>
      <c r="H406" s="54"/>
      <c r="I406" s="54"/>
      <c r="J406" s="155"/>
      <c r="K406" s="157"/>
      <c r="L406" s="53"/>
      <c r="M406" s="53"/>
      <c r="N406" s="129">
        <f t="shared" si="40"/>
        <v>0</v>
      </c>
      <c r="O406" s="58">
        <f>(G406-(G406*I410))-L406</f>
        <v>30</v>
      </c>
      <c r="P406" s="175"/>
    </row>
    <row r="407" spans="1:16" ht="36.75" customHeight="1" thickTop="1" thickBot="1" x14ac:dyDescent="0.35">
      <c r="A407" s="57" t="str">
        <f>A406</f>
        <v>صباغة</v>
      </c>
      <c r="B407" s="165"/>
      <c r="C407" s="167"/>
      <c r="D407" s="169"/>
      <c r="E407" s="57" t="str">
        <f>E397</f>
        <v>بوكس ميش (لانسل)</v>
      </c>
      <c r="F407" s="54" t="s">
        <v>160</v>
      </c>
      <c r="G407" s="57">
        <f>G397</f>
        <v>300</v>
      </c>
      <c r="H407" s="54" t="s">
        <v>18</v>
      </c>
      <c r="I407" s="54" t="s">
        <v>75</v>
      </c>
      <c r="J407" s="155"/>
      <c r="K407" s="157"/>
      <c r="L407" s="53"/>
      <c r="M407" s="53"/>
      <c r="N407" s="129">
        <f t="shared" si="40"/>
        <v>0</v>
      </c>
      <c r="O407" s="58">
        <f>(G407-(G407*I410))-L407</f>
        <v>300</v>
      </c>
      <c r="P407" s="175"/>
    </row>
    <row r="408" spans="1:16" ht="36.75" customHeight="1" thickTop="1" thickBot="1" x14ac:dyDescent="0.35">
      <c r="A408" s="57" t="str">
        <f>A407</f>
        <v>صباغة</v>
      </c>
      <c r="B408" s="165"/>
      <c r="C408" s="167"/>
      <c r="D408" s="169"/>
      <c r="E408" s="57" t="s">
        <v>78</v>
      </c>
      <c r="F408" s="54" t="s">
        <v>160</v>
      </c>
      <c r="G408" s="57">
        <f>G407*F409</f>
        <v>30</v>
      </c>
      <c r="H408" s="54"/>
      <c r="I408" s="54"/>
      <c r="J408" s="155"/>
      <c r="K408" s="157"/>
      <c r="L408" s="53"/>
      <c r="M408" s="53"/>
      <c r="N408" s="129">
        <f t="shared" si="40"/>
        <v>0</v>
      </c>
      <c r="O408" s="58">
        <f>(G408-(G408*I410))-L408</f>
        <v>30</v>
      </c>
      <c r="P408" s="175"/>
    </row>
    <row r="409" spans="1:16" ht="36.75" customHeight="1" thickTop="1" thickBot="1" x14ac:dyDescent="0.35">
      <c r="A409" s="57" t="str">
        <f>A408</f>
        <v>صباغة</v>
      </c>
      <c r="B409" s="170"/>
      <c r="C409" s="171"/>
      <c r="D409" s="172"/>
      <c r="E409" s="56" t="s">
        <v>78</v>
      </c>
      <c r="F409" s="15">
        <v>0.1</v>
      </c>
      <c r="G409" s="56">
        <f>G406+G404+G402+G400+G398+G408</f>
        <v>180</v>
      </c>
      <c r="H409" s="55" t="str">
        <f>E397</f>
        <v>بوكس ميش (لانسل)</v>
      </c>
      <c r="I409" s="55">
        <f>G410</f>
        <v>1800</v>
      </c>
      <c r="J409" s="52">
        <f>(K409-(K409*I410))-L409</f>
        <v>130</v>
      </c>
      <c r="K409" s="53">
        <f>130</f>
        <v>130</v>
      </c>
      <c r="L409" s="53"/>
      <c r="M409" s="53"/>
      <c r="N409" s="129">
        <f t="shared" si="40"/>
        <v>0</v>
      </c>
      <c r="O409" s="58">
        <f>(G409-(G409*I410))-L409</f>
        <v>180</v>
      </c>
      <c r="P409" s="175"/>
    </row>
    <row r="410" spans="1:16" ht="36.75" customHeight="1" thickTop="1" thickBot="1" x14ac:dyDescent="0.35">
      <c r="A410" s="57" t="str">
        <f t="shared" si="39"/>
        <v>صباغة</v>
      </c>
      <c r="B410" s="161" t="s">
        <v>29</v>
      </c>
      <c r="C410" s="162"/>
      <c r="D410" s="162"/>
      <c r="E410" s="162"/>
      <c r="F410" s="163"/>
      <c r="G410" s="54">
        <f>G405+G403+G401+G399+G397+G407</f>
        <v>1800</v>
      </c>
      <c r="H410" s="2" t="s">
        <v>30</v>
      </c>
      <c r="I410" s="3">
        <v>0</v>
      </c>
      <c r="J410" s="52"/>
      <c r="K410" s="53"/>
      <c r="L410" s="53">
        <f>SUM(L397:L408)</f>
        <v>0</v>
      </c>
      <c r="M410" s="53"/>
      <c r="N410" s="129">
        <f t="shared" si="40"/>
        <v>0</v>
      </c>
      <c r="O410" s="58">
        <f>SUM(O397:O409)</f>
        <v>2160</v>
      </c>
      <c r="P410" s="175"/>
    </row>
    <row r="411" spans="1:16" ht="36.75" customHeight="1" thickTop="1" thickBot="1" x14ac:dyDescent="0.35">
      <c r="A411" s="88" t="s">
        <v>48</v>
      </c>
      <c r="B411" s="88" t="s">
        <v>0</v>
      </c>
      <c r="C411" s="88" t="s">
        <v>1</v>
      </c>
      <c r="D411" s="89" t="s">
        <v>2</v>
      </c>
      <c r="E411" s="88" t="s">
        <v>3</v>
      </c>
      <c r="F411" s="88" t="s">
        <v>11</v>
      </c>
      <c r="G411" s="88" t="s">
        <v>4</v>
      </c>
      <c r="H411" s="88" t="s">
        <v>15</v>
      </c>
      <c r="I411" s="88" t="s">
        <v>16</v>
      </c>
      <c r="J411" s="88" t="s">
        <v>56</v>
      </c>
      <c r="K411" s="88" t="s">
        <v>12</v>
      </c>
      <c r="L411" s="88" t="s">
        <v>13</v>
      </c>
      <c r="M411" s="88" t="s">
        <v>101</v>
      </c>
      <c r="N411" s="88" t="s">
        <v>100</v>
      </c>
      <c r="O411" s="88" t="s">
        <v>102</v>
      </c>
      <c r="P411" s="88" t="s">
        <v>5</v>
      </c>
    </row>
    <row r="412" spans="1:16" ht="36.75" customHeight="1" thickTop="1" thickBot="1" x14ac:dyDescent="0.35">
      <c r="A412" s="99" t="str">
        <f>A411</f>
        <v>تسليم</v>
      </c>
      <c r="B412" s="100" t="s">
        <v>198</v>
      </c>
      <c r="C412" s="99" t="s">
        <v>35</v>
      </c>
      <c r="D412" s="101" t="s">
        <v>7</v>
      </c>
      <c r="E412" s="99" t="s">
        <v>36</v>
      </c>
      <c r="F412" s="102" t="s">
        <v>17</v>
      </c>
      <c r="G412" s="99">
        <v>500</v>
      </c>
      <c r="H412" s="102" t="s">
        <v>37</v>
      </c>
      <c r="I412" s="102" t="s">
        <v>38</v>
      </c>
      <c r="J412" s="198">
        <f>(K412-(K412*I413))-L413</f>
        <v>47</v>
      </c>
      <c r="K412" s="183">
        <v>517</v>
      </c>
      <c r="L412" s="94">
        <f>470</f>
        <v>470</v>
      </c>
      <c r="M412" s="94">
        <f>470</f>
        <v>470</v>
      </c>
      <c r="N412" s="94">
        <f>L412-M412</f>
        <v>0</v>
      </c>
      <c r="O412" s="96">
        <f>(G412-(G412*I413))-L412</f>
        <v>30</v>
      </c>
      <c r="P412" s="213" t="s">
        <v>10</v>
      </c>
    </row>
    <row r="413" spans="1:16" ht="36.75" customHeight="1" thickTop="1" thickBot="1" x14ac:dyDescent="0.35">
      <c r="A413" s="102" t="str">
        <f>A412</f>
        <v>تسليم</v>
      </c>
      <c r="B413" s="214" t="s">
        <v>29</v>
      </c>
      <c r="C413" s="214"/>
      <c r="D413" s="214"/>
      <c r="E413" s="214"/>
      <c r="F413" s="214"/>
      <c r="G413" s="102">
        <f>SUM(G412)</f>
        <v>500</v>
      </c>
      <c r="H413" s="103" t="s">
        <v>30</v>
      </c>
      <c r="I413" s="104">
        <v>0</v>
      </c>
      <c r="J413" s="198"/>
      <c r="K413" s="183"/>
      <c r="L413" s="94">
        <f>SUM(L412:L412)</f>
        <v>470</v>
      </c>
      <c r="M413" s="94">
        <f>SUBTOTAL(9,M412)</f>
        <v>470</v>
      </c>
      <c r="N413" s="94">
        <f>SUBTOTAL(9,N412)</f>
        <v>0</v>
      </c>
      <c r="O413" s="94">
        <f>SUM(O412:O412)</f>
        <v>30</v>
      </c>
      <c r="P413" s="213"/>
    </row>
    <row r="414" spans="1:16" ht="36.75" customHeight="1" thickTop="1" thickBot="1" x14ac:dyDescent="0.35">
      <c r="A414" s="90" t="s">
        <v>32</v>
      </c>
      <c r="B414" s="90" t="s">
        <v>0</v>
      </c>
      <c r="C414" s="90" t="s">
        <v>1</v>
      </c>
      <c r="D414" s="91" t="s">
        <v>2</v>
      </c>
      <c r="E414" s="90" t="s">
        <v>3</v>
      </c>
      <c r="F414" s="90" t="s">
        <v>11</v>
      </c>
      <c r="G414" s="90" t="s">
        <v>4</v>
      </c>
      <c r="H414" s="90" t="s">
        <v>15</v>
      </c>
      <c r="I414" s="90" t="s">
        <v>16</v>
      </c>
      <c r="J414" s="90" t="s">
        <v>56</v>
      </c>
      <c r="K414" s="90" t="s">
        <v>12</v>
      </c>
      <c r="L414" s="90" t="s">
        <v>13</v>
      </c>
      <c r="M414" s="90" t="s">
        <v>101</v>
      </c>
      <c r="N414" s="90" t="s">
        <v>100</v>
      </c>
      <c r="O414" s="90" t="s">
        <v>102</v>
      </c>
      <c r="P414" s="90" t="s">
        <v>5</v>
      </c>
    </row>
    <row r="415" spans="1:16" ht="36.75" customHeight="1" thickTop="1" thickBot="1" x14ac:dyDescent="0.35">
      <c r="A415" s="57" t="str">
        <f>A414</f>
        <v>صباغة</v>
      </c>
      <c r="B415" s="164" t="s">
        <v>169</v>
      </c>
      <c r="C415" s="166" t="s">
        <v>31</v>
      </c>
      <c r="D415" s="168" t="s">
        <v>47</v>
      </c>
      <c r="E415" s="57" t="s">
        <v>170</v>
      </c>
      <c r="F415" s="54" t="s">
        <v>116</v>
      </c>
      <c r="G415" s="57">
        <v>1200</v>
      </c>
      <c r="H415" s="54" t="s">
        <v>176</v>
      </c>
      <c r="I415" s="54" t="s">
        <v>177</v>
      </c>
      <c r="J415" s="154">
        <f>(K415-(K415*I434))-L434</f>
        <v>2304.3999999999987</v>
      </c>
      <c r="K415" s="156">
        <f>338.6+53.9+1190.1+403.3+412+406.1+392.4+392.7+353+52.6+394+388.2+316.3+76.7+338.6+53.9</f>
        <v>5562.3999999999987</v>
      </c>
      <c r="L415" s="53">
        <f>350.2+578</f>
        <v>928.2</v>
      </c>
      <c r="M415" s="53">
        <f>350.2+578</f>
        <v>928.2</v>
      </c>
      <c r="N415" s="53">
        <f>L415-M415</f>
        <v>0</v>
      </c>
      <c r="O415" s="58">
        <f>(G415-(G415*I434))-L415</f>
        <v>271.79999999999995</v>
      </c>
      <c r="P415" s="175" t="s">
        <v>57</v>
      </c>
    </row>
    <row r="416" spans="1:16" ht="36.75" customHeight="1" thickTop="1" thickBot="1" x14ac:dyDescent="0.35">
      <c r="A416" s="57" t="str">
        <f t="shared" ref="A416:A424" si="41">A415</f>
        <v>صباغة</v>
      </c>
      <c r="B416" s="165"/>
      <c r="C416" s="167"/>
      <c r="D416" s="169"/>
      <c r="E416" s="57" t="s">
        <v>171</v>
      </c>
      <c r="F416" s="54" t="s">
        <v>116</v>
      </c>
      <c r="G416" s="57">
        <f>G415*F433</f>
        <v>36</v>
      </c>
      <c r="H416" s="54"/>
      <c r="I416" s="54"/>
      <c r="J416" s="155"/>
      <c r="K416" s="157"/>
      <c r="L416" s="53">
        <f>10.4+22</f>
        <v>32.4</v>
      </c>
      <c r="M416" s="53">
        <f>10.4+22.1</f>
        <v>32.5</v>
      </c>
      <c r="N416" s="129">
        <f t="shared" ref="N416:N433" si="42">L416-M416</f>
        <v>-0.10000000000000142</v>
      </c>
      <c r="O416" s="58">
        <f>(G416-(G416*I434))-L416</f>
        <v>3.6000000000000014</v>
      </c>
      <c r="P416" s="175"/>
    </row>
    <row r="417" spans="1:16" ht="36.75" customHeight="1" thickTop="1" thickBot="1" x14ac:dyDescent="0.35">
      <c r="A417" s="57" t="str">
        <f t="shared" si="41"/>
        <v>صباغة</v>
      </c>
      <c r="B417" s="165"/>
      <c r="C417" s="167"/>
      <c r="D417" s="169"/>
      <c r="E417" s="57" t="str">
        <f>E415</f>
        <v>ممشط 30/1 ليكرا 40</v>
      </c>
      <c r="F417" s="54" t="s">
        <v>172</v>
      </c>
      <c r="G417" s="57">
        <v>400</v>
      </c>
      <c r="H417" s="54" t="s">
        <v>176</v>
      </c>
      <c r="I417" s="54" t="s">
        <v>177</v>
      </c>
      <c r="J417" s="155"/>
      <c r="K417" s="157"/>
      <c r="L417" s="53">
        <f>374.7</f>
        <v>374.7</v>
      </c>
      <c r="M417" s="53">
        <f>374.7</f>
        <v>374.7</v>
      </c>
      <c r="N417" s="129">
        <f t="shared" si="42"/>
        <v>0</v>
      </c>
      <c r="O417" s="58">
        <f>(G417-(G417*I434))-L417</f>
        <v>25.300000000000011</v>
      </c>
      <c r="P417" s="175"/>
    </row>
    <row r="418" spans="1:16" ht="36.75" customHeight="1" thickTop="1" thickBot="1" x14ac:dyDescent="0.35">
      <c r="A418" s="57" t="str">
        <f t="shared" si="41"/>
        <v>صباغة</v>
      </c>
      <c r="B418" s="165"/>
      <c r="C418" s="167"/>
      <c r="D418" s="169"/>
      <c r="E418" s="57" t="str">
        <f>E416</f>
        <v>ريب ليكرا</v>
      </c>
      <c r="F418" s="54" t="s">
        <v>172</v>
      </c>
      <c r="G418" s="57">
        <f>G417*F433</f>
        <v>12</v>
      </c>
      <c r="H418" s="54"/>
      <c r="I418" s="54"/>
      <c r="J418" s="155"/>
      <c r="K418" s="157"/>
      <c r="L418" s="53">
        <f>11.1</f>
        <v>11.1</v>
      </c>
      <c r="M418" s="53">
        <f>11.1</f>
        <v>11.1</v>
      </c>
      <c r="N418" s="129">
        <f t="shared" si="42"/>
        <v>0</v>
      </c>
      <c r="O418" s="58">
        <f>(G418-(G418*I434))-L418</f>
        <v>0.90000000000000036</v>
      </c>
      <c r="P418" s="175"/>
    </row>
    <row r="419" spans="1:16" ht="36.75" customHeight="1" thickTop="1" thickBot="1" x14ac:dyDescent="0.35">
      <c r="A419" s="57" t="str">
        <f t="shared" si="41"/>
        <v>صباغة</v>
      </c>
      <c r="B419" s="165"/>
      <c r="C419" s="167"/>
      <c r="D419" s="169"/>
      <c r="E419" s="57" t="str">
        <f>E415</f>
        <v>ممشط 30/1 ليكرا 40</v>
      </c>
      <c r="F419" s="54" t="s">
        <v>117</v>
      </c>
      <c r="G419" s="57">
        <f>G415</f>
        <v>1200</v>
      </c>
      <c r="H419" s="54" t="s">
        <v>176</v>
      </c>
      <c r="I419" s="54" t="s">
        <v>177</v>
      </c>
      <c r="J419" s="155"/>
      <c r="K419" s="157"/>
      <c r="L419" s="53">
        <f>377</f>
        <v>377</v>
      </c>
      <c r="M419" s="53">
        <f>377</f>
        <v>377</v>
      </c>
      <c r="N419" s="129">
        <f t="shared" si="42"/>
        <v>0</v>
      </c>
      <c r="O419" s="58">
        <f>(G419-(G419*I434))-L419</f>
        <v>823</v>
      </c>
      <c r="P419" s="175"/>
    </row>
    <row r="420" spans="1:16" ht="36.75" customHeight="1" thickTop="1" thickBot="1" x14ac:dyDescent="0.35">
      <c r="A420" s="57" t="str">
        <f t="shared" si="41"/>
        <v>صباغة</v>
      </c>
      <c r="B420" s="165"/>
      <c r="C420" s="167"/>
      <c r="D420" s="169"/>
      <c r="E420" s="57" t="str">
        <f>E416</f>
        <v>ريب ليكرا</v>
      </c>
      <c r="F420" s="54" t="s">
        <v>117</v>
      </c>
      <c r="G420" s="57">
        <f>G419*F433</f>
        <v>36</v>
      </c>
      <c r="H420" s="54"/>
      <c r="I420" s="54"/>
      <c r="J420" s="155"/>
      <c r="K420" s="157"/>
      <c r="L420" s="53">
        <f>11.2</f>
        <v>11.2</v>
      </c>
      <c r="M420" s="53">
        <f>11.2</f>
        <v>11.2</v>
      </c>
      <c r="N420" s="129">
        <f t="shared" si="42"/>
        <v>0</v>
      </c>
      <c r="O420" s="58">
        <f>(G420-(G420*I434))-L420</f>
        <v>24.8</v>
      </c>
      <c r="P420" s="175"/>
    </row>
    <row r="421" spans="1:16" ht="36.75" customHeight="1" thickTop="1" thickBot="1" x14ac:dyDescent="0.35">
      <c r="A421" s="57" t="str">
        <f t="shared" si="41"/>
        <v>صباغة</v>
      </c>
      <c r="B421" s="165"/>
      <c r="C421" s="167"/>
      <c r="D421" s="169"/>
      <c r="E421" s="57" t="str">
        <f>E415</f>
        <v>ممشط 30/1 ليكرا 40</v>
      </c>
      <c r="F421" s="54" t="s">
        <v>50</v>
      </c>
      <c r="G421" s="57">
        <v>800</v>
      </c>
      <c r="H421" s="54" t="s">
        <v>176</v>
      </c>
      <c r="I421" s="54" t="s">
        <v>177</v>
      </c>
      <c r="J421" s="155"/>
      <c r="K421" s="157"/>
      <c r="L421" s="53">
        <f>389+357</f>
        <v>746</v>
      </c>
      <c r="M421" s="53">
        <f>389.2+357</f>
        <v>746.2</v>
      </c>
      <c r="N421" s="129">
        <f t="shared" si="42"/>
        <v>-0.20000000000004547</v>
      </c>
      <c r="O421" s="58">
        <f>(G421-(G421*I434))-L421</f>
        <v>54</v>
      </c>
      <c r="P421" s="175"/>
    </row>
    <row r="422" spans="1:16" ht="36.75" customHeight="1" thickTop="1" thickBot="1" x14ac:dyDescent="0.35">
      <c r="A422" s="57" t="str">
        <f t="shared" si="41"/>
        <v>صباغة</v>
      </c>
      <c r="B422" s="165"/>
      <c r="C422" s="167"/>
      <c r="D422" s="169"/>
      <c r="E422" s="57" t="str">
        <f>E416</f>
        <v>ريب ليكرا</v>
      </c>
      <c r="F422" s="54" t="s">
        <v>50</v>
      </c>
      <c r="G422" s="57">
        <f>G421*F433</f>
        <v>24</v>
      </c>
      <c r="H422" s="54"/>
      <c r="I422" s="54"/>
      <c r="J422" s="155"/>
      <c r="K422" s="157"/>
      <c r="L422" s="53">
        <v>22.4</v>
      </c>
      <c r="M422" s="53">
        <f>22.4</f>
        <v>22.4</v>
      </c>
      <c r="N422" s="129">
        <f t="shared" si="42"/>
        <v>0</v>
      </c>
      <c r="O422" s="58">
        <f>(G422-(G422*I434))-L422</f>
        <v>1.6000000000000014</v>
      </c>
      <c r="P422" s="175"/>
    </row>
    <row r="423" spans="1:16" ht="36.75" customHeight="1" thickTop="1" thickBot="1" x14ac:dyDescent="0.35">
      <c r="A423" s="57" t="str">
        <f t="shared" si="41"/>
        <v>صباغة</v>
      </c>
      <c r="B423" s="165"/>
      <c r="C423" s="167"/>
      <c r="D423" s="169"/>
      <c r="E423" s="57" t="str">
        <f>E415</f>
        <v>ممشط 30/1 ليكرا 40</v>
      </c>
      <c r="F423" s="54" t="s">
        <v>52</v>
      </c>
      <c r="G423" s="57">
        <v>800</v>
      </c>
      <c r="H423" s="54" t="s">
        <v>176</v>
      </c>
      <c r="I423" s="54" t="s">
        <v>177</v>
      </c>
      <c r="J423" s="155"/>
      <c r="K423" s="157"/>
      <c r="L423" s="53">
        <f>364+366.8</f>
        <v>730.8</v>
      </c>
      <c r="M423" s="53">
        <f>364+366.8</f>
        <v>730.8</v>
      </c>
      <c r="N423" s="129">
        <f t="shared" si="42"/>
        <v>0</v>
      </c>
      <c r="O423" s="58">
        <f>(G423-(G423*I434))-L423</f>
        <v>69.200000000000045</v>
      </c>
      <c r="P423" s="175"/>
    </row>
    <row r="424" spans="1:16" ht="36.75" customHeight="1" thickTop="1" thickBot="1" x14ac:dyDescent="0.35">
      <c r="A424" s="57" t="str">
        <f t="shared" si="41"/>
        <v>صباغة</v>
      </c>
      <c r="B424" s="165"/>
      <c r="C424" s="167"/>
      <c r="D424" s="169"/>
      <c r="E424" s="57" t="str">
        <f>E416</f>
        <v>ريب ليكرا</v>
      </c>
      <c r="F424" s="54" t="s">
        <v>52</v>
      </c>
      <c r="G424" s="57">
        <f>G423*F433</f>
        <v>24</v>
      </c>
      <c r="H424" s="54"/>
      <c r="I424" s="54"/>
      <c r="J424" s="155"/>
      <c r="K424" s="157"/>
      <c r="L424" s="53">
        <f>12.2+12</f>
        <v>24.2</v>
      </c>
      <c r="M424" s="53">
        <f>12.2+12</f>
        <v>24.2</v>
      </c>
      <c r="N424" s="129">
        <f t="shared" si="42"/>
        <v>0</v>
      </c>
      <c r="O424" s="58">
        <f>(G424-(G424*I434))-L424</f>
        <v>-0.19999999999999929</v>
      </c>
      <c r="P424" s="175"/>
    </row>
    <row r="425" spans="1:16" ht="36.75" customHeight="1" thickTop="1" thickBot="1" x14ac:dyDescent="0.35">
      <c r="A425" s="57" t="str">
        <f>A424</f>
        <v>صباغة</v>
      </c>
      <c r="B425" s="165"/>
      <c r="C425" s="167"/>
      <c r="D425" s="169"/>
      <c r="E425" s="57" t="str">
        <f>E415</f>
        <v>ممشط 30/1 ليكرا 40</v>
      </c>
      <c r="F425" s="54" t="s">
        <v>173</v>
      </c>
      <c r="G425" s="57">
        <v>400</v>
      </c>
      <c r="H425" s="54" t="s">
        <v>176</v>
      </c>
      <c r="I425" s="54" t="s">
        <v>177</v>
      </c>
      <c r="J425" s="155"/>
      <c r="K425" s="157"/>
      <c r="L425" s="53"/>
      <c r="M425" s="53"/>
      <c r="N425" s="129">
        <f t="shared" si="42"/>
        <v>0</v>
      </c>
      <c r="O425" s="58">
        <f>(G425-(G425*I434))-L425</f>
        <v>400</v>
      </c>
      <c r="P425" s="175"/>
    </row>
    <row r="426" spans="1:16" ht="36.75" customHeight="1" thickTop="1" thickBot="1" x14ac:dyDescent="0.35">
      <c r="A426" s="57" t="str">
        <f>A425</f>
        <v>صباغة</v>
      </c>
      <c r="B426" s="165"/>
      <c r="C426" s="167"/>
      <c r="D426" s="169"/>
      <c r="E426" s="57" t="str">
        <f>E416</f>
        <v>ريب ليكرا</v>
      </c>
      <c r="F426" s="54" t="s">
        <v>173</v>
      </c>
      <c r="G426" s="57">
        <f>G425*F433</f>
        <v>12</v>
      </c>
      <c r="H426" s="54"/>
      <c r="I426" s="54"/>
      <c r="J426" s="155"/>
      <c r="K426" s="157"/>
      <c r="L426" s="53"/>
      <c r="M426" s="53"/>
      <c r="N426" s="129">
        <f t="shared" si="42"/>
        <v>0</v>
      </c>
      <c r="O426" s="58">
        <f>(G426-(G426*I434))-L426</f>
        <v>12</v>
      </c>
      <c r="P426" s="175"/>
    </row>
    <row r="427" spans="1:16" ht="36.75" customHeight="1" thickTop="1" thickBot="1" x14ac:dyDescent="0.35">
      <c r="A427" s="57" t="str">
        <f>A426</f>
        <v>صباغة</v>
      </c>
      <c r="B427" s="165"/>
      <c r="C427" s="167"/>
      <c r="D427" s="169"/>
      <c r="E427" s="57" t="str">
        <f>E425</f>
        <v>ممشط 30/1 ليكرا 40</v>
      </c>
      <c r="F427" s="54" t="s">
        <v>20</v>
      </c>
      <c r="G427" s="57">
        <v>400</v>
      </c>
      <c r="H427" s="54" t="s">
        <v>176</v>
      </c>
      <c r="I427" s="54" t="s">
        <v>177</v>
      </c>
      <c r="J427" s="155"/>
      <c r="K427" s="157"/>
      <c r="L427" s="53"/>
      <c r="M427" s="53"/>
      <c r="N427" s="129">
        <f t="shared" si="42"/>
        <v>0</v>
      </c>
      <c r="O427" s="58">
        <f>(G427-(G427*I434))-L427</f>
        <v>400</v>
      </c>
      <c r="P427" s="175"/>
    </row>
    <row r="428" spans="1:16" ht="36.75" customHeight="1" thickTop="1" thickBot="1" x14ac:dyDescent="0.35">
      <c r="A428" s="57" t="str">
        <f>A427</f>
        <v>صباغة</v>
      </c>
      <c r="B428" s="165"/>
      <c r="C428" s="167"/>
      <c r="D428" s="169"/>
      <c r="E428" s="57" t="s">
        <v>193</v>
      </c>
      <c r="F428" s="54" t="s">
        <v>20</v>
      </c>
      <c r="G428" s="57">
        <f>G427*F433</f>
        <v>12</v>
      </c>
      <c r="H428" s="54"/>
      <c r="I428" s="54"/>
      <c r="J428" s="155"/>
      <c r="K428" s="157"/>
      <c r="L428" s="53"/>
      <c r="M428" s="53"/>
      <c r="N428" s="129">
        <f t="shared" si="42"/>
        <v>0</v>
      </c>
      <c r="O428" s="58">
        <f>(G428-(G428*I434))-L428</f>
        <v>12</v>
      </c>
      <c r="P428" s="175"/>
    </row>
    <row r="429" spans="1:16" ht="36.75" customHeight="1" thickTop="1" thickBot="1" x14ac:dyDescent="0.35">
      <c r="A429" s="57" t="str">
        <f t="shared" ref="A429:A434" si="43">A428</f>
        <v>صباغة</v>
      </c>
      <c r="B429" s="165"/>
      <c r="C429" s="167"/>
      <c r="D429" s="169"/>
      <c r="E429" s="57" t="str">
        <f t="shared" ref="E429:E432" si="44">E427</f>
        <v>ممشط 30/1 ليكرا 40</v>
      </c>
      <c r="F429" s="54" t="s">
        <v>174</v>
      </c>
      <c r="G429" s="57">
        <v>400</v>
      </c>
      <c r="H429" s="54" t="s">
        <v>176</v>
      </c>
      <c r="I429" s="54" t="s">
        <v>177</v>
      </c>
      <c r="J429" s="155"/>
      <c r="K429" s="157"/>
      <c r="L429" s="53"/>
      <c r="M429" s="53"/>
      <c r="N429" s="129">
        <f t="shared" si="42"/>
        <v>0</v>
      </c>
      <c r="O429" s="58">
        <f>(G429-(G429*I434))-L429</f>
        <v>400</v>
      </c>
      <c r="P429" s="175"/>
    </row>
    <row r="430" spans="1:16" ht="36.75" customHeight="1" thickTop="1" thickBot="1" x14ac:dyDescent="0.35">
      <c r="A430" s="57" t="str">
        <f t="shared" si="43"/>
        <v>صباغة</v>
      </c>
      <c r="B430" s="165"/>
      <c r="C430" s="167"/>
      <c r="D430" s="169"/>
      <c r="E430" s="57" t="str">
        <f t="shared" si="44"/>
        <v xml:space="preserve">                                                                                                                               </v>
      </c>
      <c r="F430" s="54" t="s">
        <v>174</v>
      </c>
      <c r="G430" s="57">
        <f>G429*F433</f>
        <v>12</v>
      </c>
      <c r="H430" s="54"/>
      <c r="I430" s="54"/>
      <c r="J430" s="155"/>
      <c r="K430" s="157"/>
      <c r="L430" s="53"/>
      <c r="M430" s="53"/>
      <c r="N430" s="129">
        <f t="shared" si="42"/>
        <v>0</v>
      </c>
      <c r="O430" s="58">
        <f>(G430-(G430*I434))-L430</f>
        <v>12</v>
      </c>
      <c r="P430" s="175"/>
    </row>
    <row r="431" spans="1:16" ht="36.75" customHeight="1" thickTop="1" thickBot="1" x14ac:dyDescent="0.35">
      <c r="A431" s="57" t="str">
        <f t="shared" si="43"/>
        <v>صباغة</v>
      </c>
      <c r="B431" s="165"/>
      <c r="C431" s="167"/>
      <c r="D431" s="169"/>
      <c r="E431" s="57" t="str">
        <f t="shared" si="44"/>
        <v>ممشط 30/1 ليكرا 40</v>
      </c>
      <c r="F431" s="54" t="s">
        <v>175</v>
      </c>
      <c r="G431" s="57">
        <v>400</v>
      </c>
      <c r="H431" s="54" t="s">
        <v>176</v>
      </c>
      <c r="I431" s="54" t="s">
        <v>177</v>
      </c>
      <c r="J431" s="155"/>
      <c r="K431" s="157"/>
      <c r="L431" s="53"/>
      <c r="M431" s="53"/>
      <c r="N431" s="129">
        <f t="shared" si="42"/>
        <v>0</v>
      </c>
      <c r="O431" s="58">
        <f>(G431-(G431*I434))-L431</f>
        <v>400</v>
      </c>
      <c r="P431" s="175"/>
    </row>
    <row r="432" spans="1:16" ht="36.75" customHeight="1" thickTop="1" thickBot="1" x14ac:dyDescent="0.35">
      <c r="A432" s="57" t="str">
        <f t="shared" si="43"/>
        <v>صباغة</v>
      </c>
      <c r="B432" s="165"/>
      <c r="C432" s="167"/>
      <c r="D432" s="169"/>
      <c r="E432" s="57" t="str">
        <f t="shared" si="44"/>
        <v xml:space="preserve">                                                                                                                               </v>
      </c>
      <c r="F432" s="54" t="s">
        <v>175</v>
      </c>
      <c r="G432" s="57">
        <f>G431*F433</f>
        <v>12</v>
      </c>
      <c r="H432" s="54"/>
      <c r="I432" s="54"/>
      <c r="J432" s="173"/>
      <c r="K432" s="174"/>
      <c r="L432" s="53"/>
      <c r="M432" s="53"/>
      <c r="N432" s="129">
        <f>L432-M432</f>
        <v>0</v>
      </c>
      <c r="O432" s="58">
        <f>(G432-(G432*I434))-L432</f>
        <v>12</v>
      </c>
      <c r="P432" s="175"/>
    </row>
    <row r="433" spans="1:16" ht="36.75" customHeight="1" thickTop="1" thickBot="1" x14ac:dyDescent="0.35">
      <c r="A433" s="57" t="str">
        <f t="shared" si="43"/>
        <v>صباغة</v>
      </c>
      <c r="B433" s="170"/>
      <c r="C433" s="171"/>
      <c r="D433" s="172"/>
      <c r="E433" s="56" t="s">
        <v>78</v>
      </c>
      <c r="F433" s="15">
        <v>0.03</v>
      </c>
      <c r="G433" s="56">
        <f>G424+G422+G420+G418+G416+G426+G428+G430+G432</f>
        <v>180</v>
      </c>
      <c r="H433" s="55"/>
      <c r="I433" s="55">
        <f>G434</f>
        <v>6000</v>
      </c>
      <c r="J433" s="52" t="e">
        <f>(K433-(K433*I434))-L433</f>
        <v>#VALUE!</v>
      </c>
      <c r="K433" s="53">
        <f>180+21</f>
        <v>201</v>
      </c>
      <c r="L433" s="53" t="s">
        <v>192</v>
      </c>
      <c r="M433" s="53"/>
      <c r="N433" s="129" t="e">
        <f t="shared" si="42"/>
        <v>#VALUE!</v>
      </c>
      <c r="O433" s="125" t="e">
        <f>(G433-(G433*I434))-L433</f>
        <v>#VALUE!</v>
      </c>
      <c r="P433" s="175"/>
    </row>
    <row r="434" spans="1:16" ht="36.75" customHeight="1" thickTop="1" thickBot="1" x14ac:dyDescent="0.35">
      <c r="A434" s="57" t="str">
        <f t="shared" si="43"/>
        <v>صباغة</v>
      </c>
      <c r="B434" s="161" t="s">
        <v>29</v>
      </c>
      <c r="C434" s="162"/>
      <c r="D434" s="162"/>
      <c r="E434" s="162"/>
      <c r="F434" s="163"/>
      <c r="G434" s="54">
        <f>G423+G421+G419+G417+G415+G425+G427+G429+G431</f>
        <v>6000</v>
      </c>
      <c r="H434" s="2" t="s">
        <v>30</v>
      </c>
      <c r="I434" s="3">
        <v>0</v>
      </c>
      <c r="J434" s="52"/>
      <c r="K434" s="53"/>
      <c r="L434" s="53">
        <f>SUM(L415:L426)</f>
        <v>3258</v>
      </c>
      <c r="M434" s="53"/>
      <c r="N434" s="53"/>
      <c r="O434" s="125">
        <f t="shared" ref="O434" si="45">(G434-(G434*I436))-L434</f>
        <v>2742</v>
      </c>
      <c r="P434" s="175"/>
    </row>
    <row r="435" spans="1:16" ht="36.75" customHeight="1" thickTop="1" thickBot="1" x14ac:dyDescent="0.35">
      <c r="A435" s="88" t="s">
        <v>32</v>
      </c>
      <c r="B435" s="88" t="s">
        <v>0</v>
      </c>
      <c r="C435" s="88" t="s">
        <v>1</v>
      </c>
      <c r="D435" s="89" t="s">
        <v>2</v>
      </c>
      <c r="E435" s="88" t="s">
        <v>3</v>
      </c>
      <c r="F435" s="88" t="s">
        <v>11</v>
      </c>
      <c r="G435" s="88" t="s">
        <v>4</v>
      </c>
      <c r="H435" s="88" t="s">
        <v>15</v>
      </c>
      <c r="I435" s="88" t="s">
        <v>16</v>
      </c>
      <c r="J435" s="88" t="s">
        <v>56</v>
      </c>
      <c r="K435" s="88" t="s">
        <v>12</v>
      </c>
      <c r="L435" s="88" t="s">
        <v>13</v>
      </c>
      <c r="M435" s="88" t="s">
        <v>101</v>
      </c>
      <c r="N435" s="88" t="s">
        <v>100</v>
      </c>
      <c r="O435" s="88" t="s">
        <v>102</v>
      </c>
      <c r="P435" s="88" t="s">
        <v>5</v>
      </c>
    </row>
    <row r="436" spans="1:16" ht="36.75" customHeight="1" thickTop="1" thickBot="1" x14ac:dyDescent="0.35">
      <c r="A436" s="57" t="str">
        <f t="shared" ref="A436:A443" si="46">A435</f>
        <v>صباغة</v>
      </c>
      <c r="B436" s="164">
        <v>46002</v>
      </c>
      <c r="C436" s="205" t="s">
        <v>179</v>
      </c>
      <c r="D436" s="168" t="s">
        <v>7</v>
      </c>
      <c r="E436" s="166" t="s">
        <v>178</v>
      </c>
      <c r="F436" s="54" t="s">
        <v>121</v>
      </c>
      <c r="G436" s="31">
        <v>500</v>
      </c>
      <c r="H436" s="54"/>
      <c r="I436" s="54"/>
      <c r="J436" s="218">
        <f>(K436-(K436*I444))-L436</f>
        <v>3102.9000000000005</v>
      </c>
      <c r="K436" s="215">
        <f>533.2+502.6+512.7+500.7+543.7+510</f>
        <v>3102.9000000000005</v>
      </c>
      <c r="L436" s="53"/>
      <c r="M436" s="53"/>
      <c r="N436" s="53">
        <f>L436-M436</f>
        <v>0</v>
      </c>
      <c r="O436" s="58">
        <f>(G436-(G436*I444))-L436</f>
        <v>500</v>
      </c>
      <c r="P436" s="175" t="s">
        <v>10</v>
      </c>
    </row>
    <row r="437" spans="1:16" ht="36.75" customHeight="1" thickTop="1" thickBot="1" x14ac:dyDescent="0.35">
      <c r="A437" s="57" t="str">
        <f t="shared" si="46"/>
        <v>صباغة</v>
      </c>
      <c r="B437" s="165"/>
      <c r="C437" s="206"/>
      <c r="D437" s="169"/>
      <c r="E437" s="167"/>
      <c r="F437" s="54" t="s">
        <v>180</v>
      </c>
      <c r="G437" s="31">
        <v>500</v>
      </c>
      <c r="H437" s="54"/>
      <c r="I437" s="54"/>
      <c r="J437" s="219"/>
      <c r="K437" s="216"/>
      <c r="L437" s="53"/>
      <c r="M437" s="53"/>
      <c r="N437" s="53">
        <f t="shared" ref="N437:N444" si="47">L437-M437</f>
        <v>0</v>
      </c>
      <c r="O437" s="58">
        <f>(G437-(G437*I444))-L437</f>
        <v>500</v>
      </c>
      <c r="P437" s="175"/>
    </row>
    <row r="438" spans="1:16" ht="36.75" customHeight="1" thickTop="1" thickBot="1" x14ac:dyDescent="0.35">
      <c r="A438" s="57" t="str">
        <f t="shared" si="46"/>
        <v>صباغة</v>
      </c>
      <c r="B438" s="165"/>
      <c r="C438" s="206"/>
      <c r="D438" s="169"/>
      <c r="E438" s="167"/>
      <c r="F438" s="54" t="s">
        <v>71</v>
      </c>
      <c r="G438" s="31">
        <v>500</v>
      </c>
      <c r="H438" s="54"/>
      <c r="I438" s="54"/>
      <c r="J438" s="219"/>
      <c r="K438" s="216"/>
      <c r="L438" s="53"/>
      <c r="M438" s="53"/>
      <c r="N438" s="53">
        <f t="shared" si="47"/>
        <v>0</v>
      </c>
      <c r="O438" s="58">
        <f>(G438-(G438*I444))-L438</f>
        <v>500</v>
      </c>
      <c r="P438" s="175"/>
    </row>
    <row r="439" spans="1:16" ht="36.75" customHeight="1" thickTop="1" thickBot="1" x14ac:dyDescent="0.35">
      <c r="A439" s="57" t="str">
        <f t="shared" si="46"/>
        <v>صباغة</v>
      </c>
      <c r="B439" s="165"/>
      <c r="C439" s="206"/>
      <c r="D439" s="169"/>
      <c r="E439" s="167"/>
      <c r="F439" s="54" t="s">
        <v>69</v>
      </c>
      <c r="G439" s="31">
        <v>500</v>
      </c>
      <c r="H439" s="54"/>
      <c r="I439" s="54"/>
      <c r="J439" s="219"/>
      <c r="K439" s="216"/>
      <c r="L439" s="53">
        <f>124.7+500.7</f>
        <v>625.4</v>
      </c>
      <c r="M439" s="53">
        <f>124.7+500.7</f>
        <v>625.4</v>
      </c>
      <c r="N439" s="53">
        <f t="shared" si="47"/>
        <v>0</v>
      </c>
      <c r="O439" s="58">
        <f>(G439-(G439*I444))-L439</f>
        <v>-125.39999999999998</v>
      </c>
      <c r="P439" s="175"/>
    </row>
    <row r="440" spans="1:16" ht="36.75" customHeight="1" thickTop="1" thickBot="1" x14ac:dyDescent="0.35">
      <c r="A440" s="57" t="str">
        <f t="shared" si="46"/>
        <v>صباغة</v>
      </c>
      <c r="B440" s="165"/>
      <c r="C440" s="206"/>
      <c r="D440" s="169"/>
      <c r="E440" s="167"/>
      <c r="F440" s="54" t="s">
        <v>20</v>
      </c>
      <c r="G440" s="31">
        <v>500</v>
      </c>
      <c r="H440" s="54"/>
      <c r="I440" s="54"/>
      <c r="J440" s="219"/>
      <c r="K440" s="216"/>
      <c r="L440" s="53"/>
      <c r="M440" s="53"/>
      <c r="N440" s="53">
        <f t="shared" si="47"/>
        <v>0</v>
      </c>
      <c r="O440" s="58">
        <f>(G440-(G440*I444))-L440</f>
        <v>500</v>
      </c>
      <c r="P440" s="175"/>
    </row>
    <row r="441" spans="1:16" ht="36.75" customHeight="1" thickTop="1" thickBot="1" x14ac:dyDescent="0.35">
      <c r="A441" s="57" t="str">
        <f t="shared" si="46"/>
        <v>صباغة</v>
      </c>
      <c r="B441" s="165"/>
      <c r="C441" s="206"/>
      <c r="D441" s="169"/>
      <c r="E441" s="167"/>
      <c r="F441" s="54" t="s">
        <v>181</v>
      </c>
      <c r="G441" s="31">
        <v>500</v>
      </c>
      <c r="H441" s="54"/>
      <c r="I441" s="54"/>
      <c r="J441" s="219"/>
      <c r="K441" s="216"/>
      <c r="L441" s="53"/>
      <c r="M441" s="53"/>
      <c r="N441" s="53">
        <f t="shared" si="47"/>
        <v>0</v>
      </c>
      <c r="O441" s="58">
        <f>(G441-(G441*I444))-L441</f>
        <v>500</v>
      </c>
      <c r="P441" s="175"/>
    </row>
    <row r="442" spans="1:16" ht="36.75" customHeight="1" thickTop="1" thickBot="1" x14ac:dyDescent="0.35">
      <c r="A442" s="57" t="str">
        <f t="shared" si="46"/>
        <v>صباغة</v>
      </c>
      <c r="B442" s="165"/>
      <c r="C442" s="206"/>
      <c r="D442" s="169"/>
      <c r="E442" s="167"/>
      <c r="F442" s="54"/>
      <c r="G442" s="31">
        <v>500</v>
      </c>
      <c r="H442" s="54"/>
      <c r="I442" s="54"/>
      <c r="J442" s="219"/>
      <c r="K442" s="216"/>
      <c r="L442" s="53"/>
      <c r="M442" s="53"/>
      <c r="N442" s="53">
        <f t="shared" si="47"/>
        <v>0</v>
      </c>
      <c r="O442" s="58">
        <f>(G442-(G442*I444))-L442</f>
        <v>500</v>
      </c>
      <c r="P442" s="175"/>
    </row>
    <row r="443" spans="1:16" ht="36.75" customHeight="1" thickTop="1" thickBot="1" x14ac:dyDescent="0.35">
      <c r="A443" s="57" t="str">
        <f t="shared" si="46"/>
        <v>صباغة</v>
      </c>
      <c r="B443" s="170"/>
      <c r="C443" s="207"/>
      <c r="D443" s="172"/>
      <c r="E443" s="171"/>
      <c r="F443" s="54"/>
      <c r="G443" s="31"/>
      <c r="H443" s="54"/>
      <c r="I443" s="54"/>
      <c r="J443" s="220"/>
      <c r="K443" s="217"/>
      <c r="L443" s="53"/>
      <c r="M443" s="53"/>
      <c r="N443" s="53">
        <f t="shared" si="47"/>
        <v>0</v>
      </c>
      <c r="O443" s="58">
        <f>(G443-(G443*I444))-L443</f>
        <v>0</v>
      </c>
      <c r="P443" s="175"/>
    </row>
    <row r="444" spans="1:16" ht="36.75" customHeight="1" thickTop="1" thickBot="1" x14ac:dyDescent="0.35">
      <c r="A444" s="57" t="str">
        <f>A443</f>
        <v>صباغة</v>
      </c>
      <c r="B444" s="179" t="s">
        <v>29</v>
      </c>
      <c r="C444" s="179"/>
      <c r="D444" s="179"/>
      <c r="E444" s="179"/>
      <c r="F444" s="179"/>
      <c r="G444" s="54">
        <f>SUBTOTAL(9,G436:G443)</f>
        <v>3500</v>
      </c>
      <c r="H444" s="2" t="s">
        <v>30</v>
      </c>
      <c r="I444" s="3">
        <v>0</v>
      </c>
      <c r="J444" s="25"/>
      <c r="K444" s="29"/>
      <c r="L444" s="53">
        <f>SUM(L436:L443)</f>
        <v>625.4</v>
      </c>
      <c r="M444" s="53">
        <f>SUBTOTAL(9,M436:M443)</f>
        <v>625.4</v>
      </c>
      <c r="N444" s="53">
        <f t="shared" si="47"/>
        <v>0</v>
      </c>
      <c r="O444" s="58">
        <f>SUM(O436:O443)</f>
        <v>2874.6</v>
      </c>
      <c r="P444" s="175"/>
    </row>
    <row r="445" spans="1:16" ht="36.75" customHeight="1" thickTop="1" thickBot="1" x14ac:dyDescent="0.35">
      <c r="A445" s="90" t="s">
        <v>32</v>
      </c>
      <c r="B445" s="90" t="s">
        <v>0</v>
      </c>
      <c r="C445" s="90" t="s">
        <v>1</v>
      </c>
      <c r="D445" s="91" t="s">
        <v>2</v>
      </c>
      <c r="E445" s="90" t="s">
        <v>3</v>
      </c>
      <c r="F445" s="90" t="s">
        <v>11</v>
      </c>
      <c r="G445" s="90" t="s">
        <v>4</v>
      </c>
      <c r="H445" s="90" t="s">
        <v>15</v>
      </c>
      <c r="I445" s="90" t="s">
        <v>16</v>
      </c>
      <c r="J445" s="90" t="s">
        <v>56</v>
      </c>
      <c r="K445" s="90" t="s">
        <v>12</v>
      </c>
      <c r="L445" s="90" t="s">
        <v>13</v>
      </c>
      <c r="M445" s="90" t="s">
        <v>101</v>
      </c>
      <c r="N445" s="90" t="s">
        <v>100</v>
      </c>
      <c r="O445" s="90" t="s">
        <v>102</v>
      </c>
      <c r="P445" s="90" t="s">
        <v>5</v>
      </c>
    </row>
    <row r="446" spans="1:16" ht="36.75" customHeight="1" thickTop="1" thickBot="1" x14ac:dyDescent="0.35">
      <c r="A446" s="60" t="str">
        <f>A445</f>
        <v>صباغة</v>
      </c>
      <c r="B446" s="164" t="s">
        <v>182</v>
      </c>
      <c r="C446" s="166" t="s">
        <v>183</v>
      </c>
      <c r="D446" s="168" t="s">
        <v>47</v>
      </c>
      <c r="E446" s="60" t="s">
        <v>170</v>
      </c>
      <c r="F446" s="59" t="s">
        <v>116</v>
      </c>
      <c r="G446" s="60">
        <v>2000</v>
      </c>
      <c r="H446" s="59" t="s">
        <v>176</v>
      </c>
      <c r="I446" s="59" t="s">
        <v>177</v>
      </c>
      <c r="J446" s="154">
        <f>(K446-(K446*I455))-L455</f>
        <v>5656.9</v>
      </c>
      <c r="K446" s="156">
        <f>295+500+1645+392.5+389.2+412.7+400.5+401.9+412+401+407.1</f>
        <v>5656.9</v>
      </c>
      <c r="L446" s="61"/>
      <c r="M446" s="61"/>
      <c r="N446" s="129">
        <f>L446-M446</f>
        <v>0</v>
      </c>
      <c r="O446" s="65">
        <f>(G446-(G446*I455))-L446</f>
        <v>2000</v>
      </c>
      <c r="P446" s="221" t="s">
        <v>226</v>
      </c>
    </row>
    <row r="447" spans="1:16" ht="36.75" customHeight="1" thickTop="1" thickBot="1" x14ac:dyDescent="0.35">
      <c r="A447" s="60" t="str">
        <f t="shared" ref="A447:A453" si="48">A446</f>
        <v>صباغة</v>
      </c>
      <c r="B447" s="165"/>
      <c r="C447" s="167"/>
      <c r="D447" s="169"/>
      <c r="E447" s="60" t="s">
        <v>171</v>
      </c>
      <c r="F447" s="59" t="s">
        <v>116</v>
      </c>
      <c r="G447" s="60">
        <f>G446*F454</f>
        <v>60</v>
      </c>
      <c r="H447" s="59"/>
      <c r="I447" s="59"/>
      <c r="J447" s="155"/>
      <c r="K447" s="157"/>
      <c r="L447" s="61"/>
      <c r="M447" s="61"/>
      <c r="N447" s="129">
        <f t="shared" ref="N447:N495" si="49">L447-M447</f>
        <v>0</v>
      </c>
      <c r="O447" s="65">
        <f>(G447-(G447*I455))-L447</f>
        <v>60</v>
      </c>
      <c r="P447" s="221"/>
    </row>
    <row r="448" spans="1:16" ht="36.75" customHeight="1" thickTop="1" thickBot="1" x14ac:dyDescent="0.35">
      <c r="A448" s="60" t="str">
        <f>A447</f>
        <v>صباغة</v>
      </c>
      <c r="B448" s="165"/>
      <c r="C448" s="167"/>
      <c r="D448" s="169"/>
      <c r="E448" s="60" t="str">
        <f>E446</f>
        <v>ممشط 30/1 ليكرا 40</v>
      </c>
      <c r="F448" s="59" t="s">
        <v>17</v>
      </c>
      <c r="G448" s="60">
        <f>G446</f>
        <v>2000</v>
      </c>
      <c r="H448" s="59" t="s">
        <v>176</v>
      </c>
      <c r="I448" s="59" t="s">
        <v>177</v>
      </c>
      <c r="J448" s="155"/>
      <c r="K448" s="157"/>
      <c r="L448" s="61"/>
      <c r="M448" s="61"/>
      <c r="N448" s="129">
        <f t="shared" si="49"/>
        <v>0</v>
      </c>
      <c r="O448" s="65">
        <f>(G448-(G448*I455))-L448</f>
        <v>2000</v>
      </c>
      <c r="P448" s="221"/>
    </row>
    <row r="449" spans="1:16" ht="36.75" customHeight="1" thickTop="1" thickBot="1" x14ac:dyDescent="0.35">
      <c r="A449" s="60" t="str">
        <f t="shared" si="48"/>
        <v>صباغة</v>
      </c>
      <c r="B449" s="165"/>
      <c r="C449" s="167"/>
      <c r="D449" s="169"/>
      <c r="E449" s="60" t="str">
        <f>E447</f>
        <v>ريب ليكرا</v>
      </c>
      <c r="F449" s="59" t="s">
        <v>17</v>
      </c>
      <c r="G449" s="60">
        <f>G448*F454</f>
        <v>60</v>
      </c>
      <c r="H449" s="59"/>
      <c r="I449" s="59"/>
      <c r="J449" s="155"/>
      <c r="K449" s="157"/>
      <c r="L449" s="61"/>
      <c r="M449" s="61"/>
      <c r="N449" s="129">
        <f t="shared" si="49"/>
        <v>0</v>
      </c>
      <c r="O449" s="65">
        <f>(G449-(G449*I455))-L449</f>
        <v>60</v>
      </c>
      <c r="P449" s="221"/>
    </row>
    <row r="450" spans="1:16" ht="36.75" customHeight="1" thickTop="1" thickBot="1" x14ac:dyDescent="0.35">
      <c r="A450" s="60" t="str">
        <f t="shared" si="48"/>
        <v>صباغة</v>
      </c>
      <c r="B450" s="165"/>
      <c r="C450" s="167"/>
      <c r="D450" s="169"/>
      <c r="E450" s="60" t="str">
        <f>E446</f>
        <v>ممشط 30/1 ليكرا 40</v>
      </c>
      <c r="F450" s="59" t="s">
        <v>50</v>
      </c>
      <c r="G450" s="60">
        <v>800</v>
      </c>
      <c r="H450" s="59" t="s">
        <v>176</v>
      </c>
      <c r="I450" s="59" t="s">
        <v>177</v>
      </c>
      <c r="J450" s="155"/>
      <c r="K450" s="157"/>
      <c r="L450" s="61"/>
      <c r="M450" s="61"/>
      <c r="N450" s="129">
        <f t="shared" si="49"/>
        <v>0</v>
      </c>
      <c r="O450" s="65">
        <f>(G450-(G450*I455))-L450</f>
        <v>800</v>
      </c>
      <c r="P450" s="221"/>
    </row>
    <row r="451" spans="1:16" ht="36.75" customHeight="1" thickTop="1" thickBot="1" x14ac:dyDescent="0.35">
      <c r="A451" s="60" t="str">
        <f t="shared" si="48"/>
        <v>صباغة</v>
      </c>
      <c r="B451" s="165"/>
      <c r="C451" s="167"/>
      <c r="D451" s="169"/>
      <c r="E451" s="60" t="str">
        <f>E447</f>
        <v>ريب ليكرا</v>
      </c>
      <c r="F451" s="59" t="s">
        <v>50</v>
      </c>
      <c r="G451" s="60">
        <f>G450*F454</f>
        <v>24</v>
      </c>
      <c r="H451" s="59"/>
      <c r="I451" s="59"/>
      <c r="J451" s="155"/>
      <c r="K451" s="157"/>
      <c r="L451" s="61"/>
      <c r="M451" s="61"/>
      <c r="N451" s="129">
        <f t="shared" si="49"/>
        <v>0</v>
      </c>
      <c r="O451" s="65">
        <f>(G451-(G451*I455))-L451</f>
        <v>24</v>
      </c>
      <c r="P451" s="221"/>
    </row>
    <row r="452" spans="1:16" ht="36.75" customHeight="1" thickTop="1" thickBot="1" x14ac:dyDescent="0.35">
      <c r="A452" s="60" t="str">
        <f t="shared" si="48"/>
        <v>صباغة</v>
      </c>
      <c r="B452" s="165"/>
      <c r="C452" s="167"/>
      <c r="D452" s="169"/>
      <c r="E452" s="60" t="str">
        <f>E446</f>
        <v>ممشط 30/1 ليكرا 40</v>
      </c>
      <c r="F452" s="59" t="s">
        <v>52</v>
      </c>
      <c r="G452" s="60">
        <v>800</v>
      </c>
      <c r="H452" s="59" t="s">
        <v>176</v>
      </c>
      <c r="I452" s="59" t="s">
        <v>177</v>
      </c>
      <c r="J452" s="155"/>
      <c r="K452" s="157"/>
      <c r="L452" s="61"/>
      <c r="M452" s="61"/>
      <c r="N452" s="129">
        <f t="shared" si="49"/>
        <v>0</v>
      </c>
      <c r="O452" s="65">
        <f>(G452-(G452*I455))-L452</f>
        <v>800</v>
      </c>
      <c r="P452" s="221"/>
    </row>
    <row r="453" spans="1:16" ht="36.75" customHeight="1" thickTop="1" thickBot="1" x14ac:dyDescent="0.35">
      <c r="A453" s="60" t="str">
        <f t="shared" si="48"/>
        <v>صباغة</v>
      </c>
      <c r="B453" s="165"/>
      <c r="C453" s="167"/>
      <c r="D453" s="169"/>
      <c r="E453" s="60" t="str">
        <f>E447</f>
        <v>ريب ليكرا</v>
      </c>
      <c r="F453" s="59" t="s">
        <v>52</v>
      </c>
      <c r="G453" s="60">
        <f>G452*F454</f>
        <v>24</v>
      </c>
      <c r="H453" s="59"/>
      <c r="I453" s="59"/>
      <c r="J453" s="155"/>
      <c r="K453" s="157"/>
      <c r="L453" s="61"/>
      <c r="M453" s="61"/>
      <c r="N453" s="129">
        <f t="shared" si="49"/>
        <v>0</v>
      </c>
      <c r="O453" s="65">
        <f>(G453-(G453*I455))-L453</f>
        <v>24</v>
      </c>
      <c r="P453" s="221"/>
    </row>
    <row r="454" spans="1:16" ht="36.75" customHeight="1" thickTop="1" thickBot="1" x14ac:dyDescent="0.35">
      <c r="A454" s="60" t="str">
        <f>A453</f>
        <v>صباغة</v>
      </c>
      <c r="B454" s="170"/>
      <c r="C454" s="171"/>
      <c r="D454" s="172"/>
      <c r="E454" s="64" t="s">
        <v>78</v>
      </c>
      <c r="F454" s="15">
        <v>0.03</v>
      </c>
      <c r="G454" s="64">
        <f>G453+G451+G449+G447</f>
        <v>168</v>
      </c>
      <c r="H454" s="63" t="str">
        <f>E446</f>
        <v>ممشط 30/1 ليكرا 40</v>
      </c>
      <c r="I454" s="63">
        <f>G455</f>
        <v>5600</v>
      </c>
      <c r="J454" s="62">
        <f>(K454-(K454*I455))-L454</f>
        <v>329.1</v>
      </c>
      <c r="K454" s="61">
        <f>41.2+69+12.5+13.5+11.4+11+13.5+157</f>
        <v>329.1</v>
      </c>
      <c r="L454" s="61"/>
      <c r="M454" s="61"/>
      <c r="N454" s="129">
        <f t="shared" si="49"/>
        <v>0</v>
      </c>
      <c r="O454" s="65">
        <f>(G454-(G454*I455))-L454</f>
        <v>168</v>
      </c>
      <c r="P454" s="221"/>
    </row>
    <row r="455" spans="1:16" ht="36.75" customHeight="1" thickTop="1" thickBot="1" x14ac:dyDescent="0.35">
      <c r="A455" s="60" t="str">
        <f t="shared" ref="A455" si="50">A454</f>
        <v>صباغة</v>
      </c>
      <c r="B455" s="161" t="s">
        <v>29</v>
      </c>
      <c r="C455" s="162"/>
      <c r="D455" s="162"/>
      <c r="E455" s="162"/>
      <c r="F455" s="163"/>
      <c r="G455" s="59">
        <f>G452+G450+G448+G446</f>
        <v>5600</v>
      </c>
      <c r="H455" s="2" t="s">
        <v>30</v>
      </c>
      <c r="I455" s="3">
        <v>0</v>
      </c>
      <c r="J455" s="62"/>
      <c r="K455" s="61"/>
      <c r="L455" s="61">
        <f>SUM(L446:L453)</f>
        <v>0</v>
      </c>
      <c r="M455" s="61"/>
      <c r="N455" s="129">
        <f t="shared" si="49"/>
        <v>0</v>
      </c>
      <c r="O455" s="65">
        <f>SUM(O446:O454)</f>
        <v>5936</v>
      </c>
      <c r="P455" s="221"/>
    </row>
    <row r="456" spans="1:16" ht="36.75" customHeight="1" thickTop="1" thickBot="1" x14ac:dyDescent="0.35">
      <c r="A456" s="90" t="s">
        <v>32</v>
      </c>
      <c r="B456" s="90" t="s">
        <v>0</v>
      </c>
      <c r="C456" s="90" t="s">
        <v>1</v>
      </c>
      <c r="D456" s="91" t="s">
        <v>2</v>
      </c>
      <c r="E456" s="90" t="s">
        <v>3</v>
      </c>
      <c r="F456" s="90" t="s">
        <v>11</v>
      </c>
      <c r="G456" s="90" t="s">
        <v>4</v>
      </c>
      <c r="H456" s="90" t="s">
        <v>15</v>
      </c>
      <c r="I456" s="90" t="s">
        <v>16</v>
      </c>
      <c r="J456" s="90" t="s">
        <v>56</v>
      </c>
      <c r="K456" s="90" t="s">
        <v>12</v>
      </c>
      <c r="L456" s="90" t="s">
        <v>13</v>
      </c>
      <c r="M456" s="90" t="s">
        <v>101</v>
      </c>
      <c r="N456" s="90" t="s">
        <v>100</v>
      </c>
      <c r="O456" s="90" t="s">
        <v>102</v>
      </c>
      <c r="P456" s="90" t="s">
        <v>5</v>
      </c>
    </row>
    <row r="457" spans="1:16" ht="36.75" customHeight="1" thickTop="1" thickBot="1" x14ac:dyDescent="0.35">
      <c r="A457" s="93" t="str">
        <f t="shared" ref="A457:A463" si="51">A456</f>
        <v>صباغة</v>
      </c>
      <c r="B457" s="164" t="s">
        <v>182</v>
      </c>
      <c r="C457" s="166" t="s">
        <v>184</v>
      </c>
      <c r="D457" s="168" t="s">
        <v>7</v>
      </c>
      <c r="E457" s="166" t="s">
        <v>200</v>
      </c>
      <c r="F457" s="92" t="s">
        <v>160</v>
      </c>
      <c r="G457" s="93">
        <v>300</v>
      </c>
      <c r="H457" s="92" t="s">
        <v>18</v>
      </c>
      <c r="I457" s="92" t="s">
        <v>191</v>
      </c>
      <c r="J457" s="154">
        <f>(K457-(K457*I463))-L463</f>
        <v>1827.1</v>
      </c>
      <c r="K457" s="156">
        <f>300.9+318.2+318.6+305.4+310+274</f>
        <v>1827.1</v>
      </c>
      <c r="L457" s="94"/>
      <c r="M457" s="94"/>
      <c r="N457" s="129">
        <f t="shared" si="49"/>
        <v>0</v>
      </c>
      <c r="O457" s="96">
        <f>(G457-(G457*I463))-L457</f>
        <v>300</v>
      </c>
      <c r="P457" s="175" t="s">
        <v>57</v>
      </c>
    </row>
    <row r="458" spans="1:16" ht="36.75" customHeight="1" thickTop="1" thickBot="1" x14ac:dyDescent="0.35">
      <c r="A458" s="93" t="str">
        <f t="shared" si="51"/>
        <v>صباغة</v>
      </c>
      <c r="B458" s="165"/>
      <c r="C458" s="167"/>
      <c r="D458" s="169"/>
      <c r="E458" s="167"/>
      <c r="F458" s="92" t="s">
        <v>172</v>
      </c>
      <c r="G458" s="93">
        <v>300</v>
      </c>
      <c r="H458" s="92" t="s">
        <v>18</v>
      </c>
      <c r="I458" s="92" t="s">
        <v>191</v>
      </c>
      <c r="J458" s="155"/>
      <c r="K458" s="157"/>
      <c r="L458" s="94"/>
      <c r="M458" s="94"/>
      <c r="N458" s="129">
        <f t="shared" si="49"/>
        <v>0</v>
      </c>
      <c r="O458" s="96">
        <f>(G458-(G458*I463))-L458</f>
        <v>300</v>
      </c>
      <c r="P458" s="175"/>
    </row>
    <row r="459" spans="1:16" ht="36.75" customHeight="1" thickTop="1" thickBot="1" x14ac:dyDescent="0.35">
      <c r="A459" s="93" t="str">
        <f t="shared" si="51"/>
        <v>صباغة</v>
      </c>
      <c r="B459" s="165"/>
      <c r="C459" s="167"/>
      <c r="D459" s="169"/>
      <c r="E459" s="167"/>
      <c r="F459" s="92" t="s">
        <v>20</v>
      </c>
      <c r="G459" s="93">
        <v>300</v>
      </c>
      <c r="H459" s="92" t="s">
        <v>18</v>
      </c>
      <c r="I459" s="92" t="s">
        <v>191</v>
      </c>
      <c r="J459" s="155"/>
      <c r="K459" s="157"/>
      <c r="L459" s="94"/>
      <c r="M459" s="94"/>
      <c r="N459" s="129">
        <f t="shared" si="49"/>
        <v>0</v>
      </c>
      <c r="O459" s="96">
        <f>(G459-(G459*I463))-L459</f>
        <v>300</v>
      </c>
      <c r="P459" s="175"/>
    </row>
    <row r="460" spans="1:16" ht="36.75" customHeight="1" thickTop="1" thickBot="1" x14ac:dyDescent="0.35">
      <c r="A460" s="93" t="str">
        <f t="shared" si="51"/>
        <v>صباغة</v>
      </c>
      <c r="B460" s="165"/>
      <c r="C460" s="167"/>
      <c r="D460" s="169"/>
      <c r="E460" s="167"/>
      <c r="F460" s="92" t="s">
        <v>69</v>
      </c>
      <c r="G460" s="93">
        <v>300</v>
      </c>
      <c r="H460" s="92" t="s">
        <v>18</v>
      </c>
      <c r="I460" s="92" t="s">
        <v>191</v>
      </c>
      <c r="J460" s="155"/>
      <c r="K460" s="157"/>
      <c r="L460" s="94"/>
      <c r="M460" s="94"/>
      <c r="N460" s="129">
        <f t="shared" si="49"/>
        <v>0</v>
      </c>
      <c r="O460" s="96">
        <f>(G460-(G460*I463))-L460</f>
        <v>300</v>
      </c>
      <c r="P460" s="175"/>
    </row>
    <row r="461" spans="1:16" ht="36.75" customHeight="1" thickTop="1" thickBot="1" x14ac:dyDescent="0.35">
      <c r="A461" s="93" t="str">
        <f t="shared" si="51"/>
        <v>صباغة</v>
      </c>
      <c r="B461" s="165"/>
      <c r="C461" s="167"/>
      <c r="D461" s="169"/>
      <c r="E461" s="167"/>
      <c r="F461" s="92" t="s">
        <v>186</v>
      </c>
      <c r="G461" s="93">
        <v>300</v>
      </c>
      <c r="H461" s="92" t="s">
        <v>18</v>
      </c>
      <c r="I461" s="92" t="s">
        <v>191</v>
      </c>
      <c r="J461" s="155"/>
      <c r="K461" s="157"/>
      <c r="L461" s="94"/>
      <c r="M461" s="94"/>
      <c r="N461" s="129">
        <f t="shared" si="49"/>
        <v>0</v>
      </c>
      <c r="O461" s="96">
        <f>(G461-(G461*I463))-L461</f>
        <v>300</v>
      </c>
      <c r="P461" s="175"/>
    </row>
    <row r="462" spans="1:16" ht="36.75" customHeight="1" thickTop="1" thickBot="1" x14ac:dyDescent="0.35">
      <c r="A462" s="93" t="str">
        <f t="shared" si="51"/>
        <v>صباغة</v>
      </c>
      <c r="B462" s="165"/>
      <c r="C462" s="167"/>
      <c r="D462" s="169"/>
      <c r="E462" s="167"/>
      <c r="F462" s="92" t="s">
        <v>117</v>
      </c>
      <c r="G462" s="93">
        <v>300</v>
      </c>
      <c r="H462" s="92" t="s">
        <v>18</v>
      </c>
      <c r="I462" s="92" t="s">
        <v>191</v>
      </c>
      <c r="J462" s="155"/>
      <c r="K462" s="157"/>
      <c r="L462" s="94"/>
      <c r="M462" s="94"/>
      <c r="N462" s="129">
        <f t="shared" si="49"/>
        <v>0</v>
      </c>
      <c r="O462" s="96">
        <f>(G462-(G462*I463))-L462</f>
        <v>300</v>
      </c>
      <c r="P462" s="175"/>
    </row>
    <row r="463" spans="1:16" ht="36.75" customHeight="1" thickTop="1" thickBot="1" x14ac:dyDescent="0.35">
      <c r="A463" s="93" t="str">
        <f t="shared" si="51"/>
        <v>صباغة</v>
      </c>
      <c r="B463" s="161" t="s">
        <v>29</v>
      </c>
      <c r="C463" s="162"/>
      <c r="D463" s="162"/>
      <c r="E463" s="162"/>
      <c r="F463" s="163"/>
      <c r="G463" s="92">
        <f>SUM(G457:G462)</f>
        <v>1800</v>
      </c>
      <c r="H463" s="2" t="s">
        <v>30</v>
      </c>
      <c r="I463" s="3">
        <v>0</v>
      </c>
      <c r="J463" s="95"/>
      <c r="K463" s="94"/>
      <c r="L463" s="94">
        <f>SUM(L457:L462)</f>
        <v>0</v>
      </c>
      <c r="M463" s="94"/>
      <c r="N463" s="129">
        <f t="shared" si="49"/>
        <v>0</v>
      </c>
      <c r="O463" s="96">
        <f>SUM(O457:O462)</f>
        <v>1800</v>
      </c>
      <c r="P463" s="175"/>
    </row>
    <row r="464" spans="1:16" ht="36.75" customHeight="1" thickTop="1" thickBot="1" x14ac:dyDescent="0.35">
      <c r="A464" s="90" t="s">
        <v>32</v>
      </c>
      <c r="B464" s="90" t="s">
        <v>0</v>
      </c>
      <c r="C464" s="90" t="s">
        <v>1</v>
      </c>
      <c r="D464" s="91" t="s">
        <v>2</v>
      </c>
      <c r="E464" s="90" t="s">
        <v>3</v>
      </c>
      <c r="F464" s="90" t="s">
        <v>11</v>
      </c>
      <c r="G464" s="90" t="s">
        <v>4</v>
      </c>
      <c r="H464" s="90" t="s">
        <v>15</v>
      </c>
      <c r="I464" s="90" t="s">
        <v>16</v>
      </c>
      <c r="J464" s="90" t="s">
        <v>56</v>
      </c>
      <c r="K464" s="90" t="s">
        <v>12</v>
      </c>
      <c r="L464" s="90" t="s">
        <v>13</v>
      </c>
      <c r="M464" s="90" t="s">
        <v>101</v>
      </c>
      <c r="N464" s="90" t="s">
        <v>100</v>
      </c>
      <c r="O464" s="90" t="s">
        <v>102</v>
      </c>
      <c r="P464" s="90" t="s">
        <v>5</v>
      </c>
    </row>
    <row r="465" spans="1:16" ht="36.75" customHeight="1" thickTop="1" thickBot="1" x14ac:dyDescent="0.35">
      <c r="A465" s="60" t="str">
        <f t="shared" ref="A465:A495" si="52">A464</f>
        <v>صباغة</v>
      </c>
      <c r="B465" s="164" t="s">
        <v>182</v>
      </c>
      <c r="C465" s="166" t="s">
        <v>184</v>
      </c>
      <c r="D465" s="168" t="s">
        <v>7</v>
      </c>
      <c r="E465" s="166" t="s">
        <v>185</v>
      </c>
      <c r="F465" s="59" t="s">
        <v>160</v>
      </c>
      <c r="G465" s="60">
        <v>300</v>
      </c>
      <c r="H465" s="59" t="s">
        <v>18</v>
      </c>
      <c r="I465" s="59" t="s">
        <v>191</v>
      </c>
      <c r="J465" s="154">
        <f>(K465-(K465*I471))-L471</f>
        <v>533.1</v>
      </c>
      <c r="K465" s="156">
        <f>300.5+302.4+296.1+296.2+316.8</f>
        <v>1512</v>
      </c>
      <c r="L465" s="61">
        <f>248</f>
        <v>248</v>
      </c>
      <c r="M465" s="61">
        <v>248</v>
      </c>
      <c r="N465" s="129">
        <f t="shared" si="49"/>
        <v>0</v>
      </c>
      <c r="O465" s="65">
        <f>(G465-(G465*I471))-L465</f>
        <v>52</v>
      </c>
      <c r="P465" s="175" t="s">
        <v>57</v>
      </c>
    </row>
    <row r="466" spans="1:16" ht="36.75" customHeight="1" thickTop="1" thickBot="1" x14ac:dyDescent="0.35">
      <c r="A466" s="60" t="str">
        <f t="shared" si="52"/>
        <v>صباغة</v>
      </c>
      <c r="B466" s="165"/>
      <c r="C466" s="167"/>
      <c r="D466" s="169"/>
      <c r="E466" s="167"/>
      <c r="F466" s="59" t="s">
        <v>172</v>
      </c>
      <c r="G466" s="60">
        <v>300</v>
      </c>
      <c r="H466" s="70" t="s">
        <v>18</v>
      </c>
      <c r="I466" s="70" t="s">
        <v>191</v>
      </c>
      <c r="J466" s="155"/>
      <c r="K466" s="157"/>
      <c r="L466" s="61"/>
      <c r="M466" s="61"/>
      <c r="N466" s="129">
        <f t="shared" si="49"/>
        <v>0</v>
      </c>
      <c r="O466" s="65">
        <f>(G466-(G466*I471))-L466</f>
        <v>300</v>
      </c>
      <c r="P466" s="175"/>
    </row>
    <row r="467" spans="1:16" ht="36.75" customHeight="1" thickTop="1" thickBot="1" x14ac:dyDescent="0.35">
      <c r="A467" s="60" t="str">
        <f t="shared" si="52"/>
        <v>صباغة</v>
      </c>
      <c r="B467" s="165"/>
      <c r="C467" s="167"/>
      <c r="D467" s="169"/>
      <c r="E467" s="167"/>
      <c r="F467" s="59" t="s">
        <v>20</v>
      </c>
      <c r="G467" s="60">
        <v>300</v>
      </c>
      <c r="H467" s="70" t="s">
        <v>18</v>
      </c>
      <c r="I467" s="70" t="s">
        <v>191</v>
      </c>
      <c r="J467" s="155"/>
      <c r="K467" s="157"/>
      <c r="L467" s="61">
        <f>235.7</f>
        <v>235.7</v>
      </c>
      <c r="M467" s="61">
        <f>235.7</f>
        <v>235.7</v>
      </c>
      <c r="N467" s="129">
        <f t="shared" si="49"/>
        <v>0</v>
      </c>
      <c r="O467" s="65">
        <f>(G467-(G467*I471))-L467</f>
        <v>64.300000000000011</v>
      </c>
      <c r="P467" s="175"/>
    </row>
    <row r="468" spans="1:16" ht="36.75" customHeight="1" thickTop="1" thickBot="1" x14ac:dyDescent="0.35">
      <c r="A468" s="60" t="str">
        <f t="shared" si="52"/>
        <v>صباغة</v>
      </c>
      <c r="B468" s="165"/>
      <c r="C468" s="167"/>
      <c r="D468" s="169"/>
      <c r="E468" s="167"/>
      <c r="F468" s="59" t="s">
        <v>69</v>
      </c>
      <c r="G468" s="60">
        <v>300</v>
      </c>
      <c r="H468" s="70" t="s">
        <v>18</v>
      </c>
      <c r="I468" s="70" t="s">
        <v>191</v>
      </c>
      <c r="J468" s="155"/>
      <c r="K468" s="157"/>
      <c r="L468" s="61">
        <f>252.3</f>
        <v>252.3</v>
      </c>
      <c r="M468" s="61">
        <f>252.3</f>
        <v>252.3</v>
      </c>
      <c r="N468" s="129">
        <f t="shared" si="49"/>
        <v>0</v>
      </c>
      <c r="O468" s="65">
        <f>(G468-(G468*I471))-L468</f>
        <v>47.699999999999989</v>
      </c>
      <c r="P468" s="175"/>
    </row>
    <row r="469" spans="1:16" ht="36.75" customHeight="1" thickTop="1" thickBot="1" x14ac:dyDescent="0.35">
      <c r="A469" s="60" t="str">
        <f t="shared" si="52"/>
        <v>صباغة</v>
      </c>
      <c r="B469" s="165"/>
      <c r="C469" s="167"/>
      <c r="D469" s="169"/>
      <c r="E469" s="167"/>
      <c r="F469" s="59" t="s">
        <v>186</v>
      </c>
      <c r="G469" s="60">
        <v>300</v>
      </c>
      <c r="H469" s="70" t="s">
        <v>18</v>
      </c>
      <c r="I469" s="70" t="s">
        <v>191</v>
      </c>
      <c r="J469" s="155"/>
      <c r="K469" s="157"/>
      <c r="L469" s="61">
        <v>242.9</v>
      </c>
      <c r="M469" s="61">
        <f>242.9</f>
        <v>242.9</v>
      </c>
      <c r="N469" s="129">
        <f t="shared" si="49"/>
        <v>0</v>
      </c>
      <c r="O469" s="65">
        <f>(G469-(G469*I471))-L469</f>
        <v>57.099999999999994</v>
      </c>
      <c r="P469" s="175"/>
    </row>
    <row r="470" spans="1:16" ht="36.75" customHeight="1" thickTop="1" thickBot="1" x14ac:dyDescent="0.35">
      <c r="A470" s="60" t="str">
        <f t="shared" si="52"/>
        <v>صباغة</v>
      </c>
      <c r="B470" s="165"/>
      <c r="C470" s="167"/>
      <c r="D470" s="169"/>
      <c r="E470" s="167"/>
      <c r="F470" s="59" t="s">
        <v>117</v>
      </c>
      <c r="G470" s="60">
        <v>300</v>
      </c>
      <c r="H470" s="70" t="s">
        <v>18</v>
      </c>
      <c r="I470" s="70" t="s">
        <v>191</v>
      </c>
      <c r="J470" s="155"/>
      <c r="K470" s="157"/>
      <c r="L470" s="61"/>
      <c r="M470" s="61"/>
      <c r="N470" s="129">
        <f t="shared" si="49"/>
        <v>0</v>
      </c>
      <c r="O470" s="65">
        <f>(G470-(G470*I471))-L470</f>
        <v>300</v>
      </c>
      <c r="P470" s="175"/>
    </row>
    <row r="471" spans="1:16" ht="36.75" customHeight="1" thickTop="1" thickBot="1" x14ac:dyDescent="0.35">
      <c r="A471" s="60" t="str">
        <f t="shared" si="52"/>
        <v>صباغة</v>
      </c>
      <c r="B471" s="161" t="s">
        <v>29</v>
      </c>
      <c r="C471" s="162"/>
      <c r="D471" s="162"/>
      <c r="E471" s="162"/>
      <c r="F471" s="163"/>
      <c r="G471" s="59">
        <f>SUM(G465:G470)</f>
        <v>1800</v>
      </c>
      <c r="H471" s="2" t="s">
        <v>30</v>
      </c>
      <c r="I471" s="3">
        <v>0</v>
      </c>
      <c r="J471" s="62"/>
      <c r="K471" s="61"/>
      <c r="L471" s="61">
        <f>SUM(L465:L470)</f>
        <v>978.9</v>
      </c>
      <c r="M471" s="61"/>
      <c r="N471" s="129">
        <f t="shared" si="49"/>
        <v>978.9</v>
      </c>
      <c r="O471" s="65">
        <f>SUM(O465:O470)</f>
        <v>821.1</v>
      </c>
      <c r="P471" s="175"/>
    </row>
    <row r="472" spans="1:16" ht="36.75" customHeight="1" thickTop="1" thickBot="1" x14ac:dyDescent="0.35">
      <c r="A472" s="90" t="s">
        <v>32</v>
      </c>
      <c r="B472" s="90" t="s">
        <v>0</v>
      </c>
      <c r="C472" s="90" t="s">
        <v>1</v>
      </c>
      <c r="D472" s="91" t="s">
        <v>2</v>
      </c>
      <c r="E472" s="90" t="s">
        <v>3</v>
      </c>
      <c r="F472" s="90" t="s">
        <v>11</v>
      </c>
      <c r="G472" s="90" t="s">
        <v>4</v>
      </c>
      <c r="H472" s="90" t="s">
        <v>15</v>
      </c>
      <c r="I472" s="90" t="s">
        <v>16</v>
      </c>
      <c r="J472" s="90" t="s">
        <v>56</v>
      </c>
      <c r="K472" s="90" t="s">
        <v>12</v>
      </c>
      <c r="L472" s="90" t="s">
        <v>13</v>
      </c>
      <c r="M472" s="90" t="s">
        <v>101</v>
      </c>
      <c r="N472" s="90" t="s">
        <v>100</v>
      </c>
      <c r="O472" s="90" t="s">
        <v>102</v>
      </c>
      <c r="P472" s="90" t="s">
        <v>5</v>
      </c>
    </row>
    <row r="473" spans="1:16" ht="36.75" customHeight="1" thickTop="1" thickBot="1" x14ac:dyDescent="0.35">
      <c r="A473" s="71" t="str">
        <f t="shared" si="52"/>
        <v>صباغة</v>
      </c>
      <c r="B473" s="164" t="s">
        <v>182</v>
      </c>
      <c r="C473" s="166" t="s">
        <v>184</v>
      </c>
      <c r="D473" s="168" t="s">
        <v>7</v>
      </c>
      <c r="E473" s="166" t="s">
        <v>188</v>
      </c>
      <c r="F473" s="70" t="s">
        <v>160</v>
      </c>
      <c r="G473" s="71">
        <v>200</v>
      </c>
      <c r="H473" s="70" t="s">
        <v>94</v>
      </c>
      <c r="I473" s="70" t="s">
        <v>187</v>
      </c>
      <c r="J473" s="154">
        <f>(K473-(K473*I479))-L479</f>
        <v>1445.5</v>
      </c>
      <c r="K473" s="156">
        <f>222.4+237.2+224.4+32.6+232.9+13.9+457.1+25</f>
        <v>1445.5</v>
      </c>
      <c r="L473" s="72"/>
      <c r="M473" s="72"/>
      <c r="N473" s="129">
        <f t="shared" si="49"/>
        <v>0</v>
      </c>
      <c r="O473" s="74">
        <f>(G473-(G473*I479))-L473</f>
        <v>200</v>
      </c>
      <c r="P473" s="175" t="s">
        <v>57</v>
      </c>
    </row>
    <row r="474" spans="1:16" ht="36.75" customHeight="1" thickTop="1" thickBot="1" x14ac:dyDescent="0.35">
      <c r="A474" s="71" t="str">
        <f t="shared" si="52"/>
        <v>صباغة</v>
      </c>
      <c r="B474" s="165"/>
      <c r="C474" s="167"/>
      <c r="D474" s="169"/>
      <c r="E474" s="167"/>
      <c r="F474" s="70" t="s">
        <v>172</v>
      </c>
      <c r="G474" s="71">
        <v>200</v>
      </c>
      <c r="H474" s="70" t="s">
        <v>94</v>
      </c>
      <c r="I474" s="70" t="s">
        <v>187</v>
      </c>
      <c r="J474" s="155"/>
      <c r="K474" s="157"/>
      <c r="L474" s="72"/>
      <c r="M474" s="72"/>
      <c r="N474" s="129">
        <f t="shared" si="49"/>
        <v>0</v>
      </c>
      <c r="O474" s="74">
        <f>(G474-(G474*I479))-L474</f>
        <v>200</v>
      </c>
      <c r="P474" s="175"/>
    </row>
    <row r="475" spans="1:16" ht="36.75" customHeight="1" thickTop="1" thickBot="1" x14ac:dyDescent="0.35">
      <c r="A475" s="71" t="str">
        <f t="shared" si="52"/>
        <v>صباغة</v>
      </c>
      <c r="B475" s="165"/>
      <c r="C475" s="167"/>
      <c r="D475" s="169"/>
      <c r="E475" s="167"/>
      <c r="F475" s="70" t="s">
        <v>20</v>
      </c>
      <c r="G475" s="71">
        <v>200</v>
      </c>
      <c r="H475" s="70" t="s">
        <v>94</v>
      </c>
      <c r="I475" s="70" t="s">
        <v>187</v>
      </c>
      <c r="J475" s="155"/>
      <c r="K475" s="157"/>
      <c r="L475" s="72"/>
      <c r="M475" s="72"/>
      <c r="N475" s="129">
        <f t="shared" si="49"/>
        <v>0</v>
      </c>
      <c r="O475" s="74">
        <f>(G475-(G475*I479))-L475</f>
        <v>200</v>
      </c>
      <c r="P475" s="175"/>
    </row>
    <row r="476" spans="1:16" ht="36.75" customHeight="1" thickTop="1" thickBot="1" x14ac:dyDescent="0.35">
      <c r="A476" s="71" t="str">
        <f t="shared" si="52"/>
        <v>صباغة</v>
      </c>
      <c r="B476" s="165"/>
      <c r="C476" s="167"/>
      <c r="D476" s="169"/>
      <c r="E476" s="167"/>
      <c r="F476" s="70" t="s">
        <v>69</v>
      </c>
      <c r="G476" s="71">
        <v>200</v>
      </c>
      <c r="H476" s="70" t="s">
        <v>94</v>
      </c>
      <c r="I476" s="70" t="s">
        <v>187</v>
      </c>
      <c r="J476" s="155"/>
      <c r="K476" s="157"/>
      <c r="L476" s="72"/>
      <c r="M476" s="72"/>
      <c r="N476" s="129">
        <f t="shared" si="49"/>
        <v>0</v>
      </c>
      <c r="O476" s="74">
        <f>(G476-(G476*I479))-L476</f>
        <v>200</v>
      </c>
      <c r="P476" s="175"/>
    </row>
    <row r="477" spans="1:16" ht="36.75" customHeight="1" thickTop="1" thickBot="1" x14ac:dyDescent="0.35">
      <c r="A477" s="71" t="str">
        <f t="shared" si="52"/>
        <v>صباغة</v>
      </c>
      <c r="B477" s="165"/>
      <c r="C477" s="167"/>
      <c r="D477" s="169"/>
      <c r="E477" s="167"/>
      <c r="F477" s="70" t="s">
        <v>186</v>
      </c>
      <c r="G477" s="71">
        <v>200</v>
      </c>
      <c r="H477" s="70" t="s">
        <v>94</v>
      </c>
      <c r="I477" s="70" t="s">
        <v>187</v>
      </c>
      <c r="J477" s="155"/>
      <c r="K477" s="157"/>
      <c r="L477" s="72"/>
      <c r="M477" s="72"/>
      <c r="N477" s="129">
        <f t="shared" si="49"/>
        <v>0</v>
      </c>
      <c r="O477" s="74">
        <f>(G477-(G477*I479))-L477</f>
        <v>200</v>
      </c>
      <c r="P477" s="175"/>
    </row>
    <row r="478" spans="1:16" ht="36.75" customHeight="1" thickTop="1" thickBot="1" x14ac:dyDescent="0.35">
      <c r="A478" s="71" t="str">
        <f t="shared" si="52"/>
        <v>صباغة</v>
      </c>
      <c r="B478" s="165"/>
      <c r="C478" s="167"/>
      <c r="D478" s="169"/>
      <c r="E478" s="167"/>
      <c r="F478" s="70" t="s">
        <v>117</v>
      </c>
      <c r="G478" s="71">
        <v>200</v>
      </c>
      <c r="H478" s="70" t="s">
        <v>94</v>
      </c>
      <c r="I478" s="70" t="s">
        <v>187</v>
      </c>
      <c r="J478" s="155"/>
      <c r="K478" s="157"/>
      <c r="L478" s="72"/>
      <c r="M478" s="72"/>
      <c r="N478" s="129">
        <f t="shared" si="49"/>
        <v>0</v>
      </c>
      <c r="O478" s="74">
        <f>(G478-(G478*I479))-L478</f>
        <v>200</v>
      </c>
      <c r="P478" s="175"/>
    </row>
    <row r="479" spans="1:16" ht="36.75" customHeight="1" thickTop="1" thickBot="1" x14ac:dyDescent="0.35">
      <c r="A479" s="71" t="str">
        <f t="shared" si="52"/>
        <v>صباغة</v>
      </c>
      <c r="B479" s="161" t="s">
        <v>29</v>
      </c>
      <c r="C479" s="162"/>
      <c r="D479" s="162"/>
      <c r="E479" s="162"/>
      <c r="F479" s="163"/>
      <c r="G479" s="70">
        <f>SUM(G473:G478)</f>
        <v>1200</v>
      </c>
      <c r="H479" s="2" t="s">
        <v>30</v>
      </c>
      <c r="I479" s="3">
        <v>0</v>
      </c>
      <c r="J479" s="73"/>
      <c r="K479" s="72"/>
      <c r="L479" s="72">
        <f>SUM(L473:L478)</f>
        <v>0</v>
      </c>
      <c r="M479" s="72"/>
      <c r="N479" s="129">
        <f t="shared" si="49"/>
        <v>0</v>
      </c>
      <c r="O479" s="74">
        <f>SUM(O473:O478)</f>
        <v>1200</v>
      </c>
      <c r="P479" s="175"/>
    </row>
    <row r="480" spans="1:16" ht="36.75" customHeight="1" thickTop="1" thickBot="1" x14ac:dyDescent="0.35">
      <c r="A480" s="90" t="s">
        <v>32</v>
      </c>
      <c r="B480" s="90" t="s">
        <v>0</v>
      </c>
      <c r="C480" s="90" t="s">
        <v>1</v>
      </c>
      <c r="D480" s="91" t="s">
        <v>2</v>
      </c>
      <c r="E480" s="90" t="s">
        <v>3</v>
      </c>
      <c r="F480" s="90" t="s">
        <v>11</v>
      </c>
      <c r="G480" s="90" t="s">
        <v>4</v>
      </c>
      <c r="H480" s="90" t="s">
        <v>15</v>
      </c>
      <c r="I480" s="90" t="s">
        <v>16</v>
      </c>
      <c r="J480" s="90" t="s">
        <v>56</v>
      </c>
      <c r="K480" s="90" t="s">
        <v>12</v>
      </c>
      <c r="L480" s="90" t="s">
        <v>13</v>
      </c>
      <c r="M480" s="90" t="s">
        <v>101</v>
      </c>
      <c r="N480" s="90" t="s">
        <v>100</v>
      </c>
      <c r="O480" s="90" t="s">
        <v>102</v>
      </c>
      <c r="P480" s="90" t="s">
        <v>5</v>
      </c>
    </row>
    <row r="481" spans="1:16" ht="36.75" customHeight="1" thickTop="1" thickBot="1" x14ac:dyDescent="0.35">
      <c r="A481" s="71" t="str">
        <f t="shared" si="52"/>
        <v>صباغة</v>
      </c>
      <c r="B481" s="164" t="s">
        <v>182</v>
      </c>
      <c r="C481" s="166" t="s">
        <v>184</v>
      </c>
      <c r="D481" s="168" t="s">
        <v>7</v>
      </c>
      <c r="E481" s="166" t="s">
        <v>189</v>
      </c>
      <c r="F481" s="70" t="s">
        <v>160</v>
      </c>
      <c r="G481" s="71">
        <v>200</v>
      </c>
      <c r="H481" s="70" t="s">
        <v>94</v>
      </c>
      <c r="I481" s="70" t="s">
        <v>187</v>
      </c>
      <c r="J481" s="154">
        <f>(K481-(K481*I487))-L487</f>
        <v>0</v>
      </c>
      <c r="K481" s="156"/>
      <c r="L481" s="72"/>
      <c r="M481" s="72"/>
      <c r="N481" s="129">
        <f t="shared" si="49"/>
        <v>0</v>
      </c>
      <c r="O481" s="74">
        <f>(G481-(G481*I487))-L481</f>
        <v>200</v>
      </c>
      <c r="P481" s="175" t="s">
        <v>57</v>
      </c>
    </row>
    <row r="482" spans="1:16" ht="36.75" customHeight="1" thickTop="1" thickBot="1" x14ac:dyDescent="0.35">
      <c r="A482" s="71" t="str">
        <f t="shared" si="52"/>
        <v>صباغة</v>
      </c>
      <c r="B482" s="165"/>
      <c r="C482" s="167"/>
      <c r="D482" s="169"/>
      <c r="E482" s="167"/>
      <c r="F482" s="70" t="s">
        <v>172</v>
      </c>
      <c r="G482" s="71">
        <v>200</v>
      </c>
      <c r="H482" s="70" t="s">
        <v>94</v>
      </c>
      <c r="I482" s="70" t="s">
        <v>187</v>
      </c>
      <c r="J482" s="155"/>
      <c r="K482" s="157"/>
      <c r="L482" s="72"/>
      <c r="M482" s="72"/>
      <c r="N482" s="129">
        <f t="shared" si="49"/>
        <v>0</v>
      </c>
      <c r="O482" s="74">
        <f>(G482-(G482*I487))-L482</f>
        <v>200</v>
      </c>
      <c r="P482" s="175"/>
    </row>
    <row r="483" spans="1:16" ht="36.75" customHeight="1" thickTop="1" thickBot="1" x14ac:dyDescent="0.35">
      <c r="A483" s="71" t="str">
        <f t="shared" si="52"/>
        <v>صباغة</v>
      </c>
      <c r="B483" s="165"/>
      <c r="C483" s="167"/>
      <c r="D483" s="169"/>
      <c r="E483" s="167"/>
      <c r="F483" s="70" t="s">
        <v>20</v>
      </c>
      <c r="G483" s="71">
        <v>200</v>
      </c>
      <c r="H483" s="70" t="s">
        <v>94</v>
      </c>
      <c r="I483" s="70" t="s">
        <v>187</v>
      </c>
      <c r="J483" s="155"/>
      <c r="K483" s="157"/>
      <c r="L483" s="72"/>
      <c r="M483" s="72"/>
      <c r="N483" s="129">
        <f t="shared" si="49"/>
        <v>0</v>
      </c>
      <c r="O483" s="74">
        <f>(G483-(G483*I487))-L483</f>
        <v>200</v>
      </c>
      <c r="P483" s="175"/>
    </row>
    <row r="484" spans="1:16" ht="36.75" customHeight="1" thickTop="1" thickBot="1" x14ac:dyDescent="0.35">
      <c r="A484" s="71" t="str">
        <f t="shared" si="52"/>
        <v>صباغة</v>
      </c>
      <c r="B484" s="165"/>
      <c r="C484" s="167"/>
      <c r="D484" s="169"/>
      <c r="E484" s="167"/>
      <c r="F484" s="70" t="s">
        <v>69</v>
      </c>
      <c r="G484" s="71">
        <v>200</v>
      </c>
      <c r="H484" s="70" t="s">
        <v>94</v>
      </c>
      <c r="I484" s="70" t="s">
        <v>187</v>
      </c>
      <c r="J484" s="155"/>
      <c r="K484" s="157"/>
      <c r="L484" s="72"/>
      <c r="M484" s="72"/>
      <c r="N484" s="129">
        <f t="shared" si="49"/>
        <v>0</v>
      </c>
      <c r="O484" s="74">
        <f>(G484-(G484*I487))-L484</f>
        <v>200</v>
      </c>
      <c r="P484" s="175"/>
    </row>
    <row r="485" spans="1:16" ht="36.75" customHeight="1" thickTop="1" thickBot="1" x14ac:dyDescent="0.35">
      <c r="A485" s="71" t="str">
        <f t="shared" si="52"/>
        <v>صباغة</v>
      </c>
      <c r="B485" s="165"/>
      <c r="C485" s="167"/>
      <c r="D485" s="169"/>
      <c r="E485" s="167"/>
      <c r="F485" s="70" t="s">
        <v>186</v>
      </c>
      <c r="G485" s="71">
        <v>200</v>
      </c>
      <c r="H485" s="70" t="s">
        <v>94</v>
      </c>
      <c r="I485" s="70" t="s">
        <v>187</v>
      </c>
      <c r="J485" s="155"/>
      <c r="K485" s="157"/>
      <c r="L485" s="72"/>
      <c r="M485" s="72"/>
      <c r="N485" s="129">
        <f t="shared" si="49"/>
        <v>0</v>
      </c>
      <c r="O485" s="74">
        <f>(G485-(G485*I487))-L485</f>
        <v>200</v>
      </c>
      <c r="P485" s="175"/>
    </row>
    <row r="486" spans="1:16" ht="36.75" customHeight="1" thickTop="1" thickBot="1" x14ac:dyDescent="0.35">
      <c r="A486" s="71" t="str">
        <f t="shared" si="52"/>
        <v>صباغة</v>
      </c>
      <c r="B486" s="165"/>
      <c r="C486" s="167"/>
      <c r="D486" s="169"/>
      <c r="E486" s="167"/>
      <c r="F486" s="70" t="s">
        <v>117</v>
      </c>
      <c r="G486" s="71">
        <v>200</v>
      </c>
      <c r="H486" s="70" t="s">
        <v>94</v>
      </c>
      <c r="I486" s="70" t="s">
        <v>187</v>
      </c>
      <c r="J486" s="155"/>
      <c r="K486" s="157"/>
      <c r="L486" s="72"/>
      <c r="M486" s="72"/>
      <c r="N486" s="129">
        <f t="shared" si="49"/>
        <v>0</v>
      </c>
      <c r="O486" s="74">
        <f>(G486-(G486*I487))-L486</f>
        <v>200</v>
      </c>
      <c r="P486" s="175"/>
    </row>
    <row r="487" spans="1:16" ht="36.75" customHeight="1" thickTop="1" thickBot="1" x14ac:dyDescent="0.35">
      <c r="A487" s="71" t="str">
        <f t="shared" si="52"/>
        <v>صباغة</v>
      </c>
      <c r="B487" s="161" t="s">
        <v>29</v>
      </c>
      <c r="C487" s="162"/>
      <c r="D487" s="162"/>
      <c r="E487" s="162"/>
      <c r="F487" s="163"/>
      <c r="G487" s="70">
        <f>SUM(G481:G486)</f>
        <v>1200</v>
      </c>
      <c r="H487" s="2" t="s">
        <v>30</v>
      </c>
      <c r="I487" s="3">
        <v>0</v>
      </c>
      <c r="J487" s="73"/>
      <c r="K487" s="72"/>
      <c r="L487" s="72">
        <f>SUM(L481:L486)</f>
        <v>0</v>
      </c>
      <c r="M487" s="72"/>
      <c r="N487" s="129">
        <f t="shared" si="49"/>
        <v>0</v>
      </c>
      <c r="O487" s="74">
        <f>SUM(O481:O486)</f>
        <v>1200</v>
      </c>
      <c r="P487" s="175"/>
    </row>
    <row r="488" spans="1:16" ht="36.75" customHeight="1" thickTop="1" thickBot="1" x14ac:dyDescent="0.35">
      <c r="A488" s="90" t="s">
        <v>32</v>
      </c>
      <c r="B488" s="90" t="s">
        <v>0</v>
      </c>
      <c r="C488" s="90" t="s">
        <v>1</v>
      </c>
      <c r="D488" s="91" t="s">
        <v>2</v>
      </c>
      <c r="E488" s="90" t="s">
        <v>3</v>
      </c>
      <c r="F488" s="90" t="s">
        <v>11</v>
      </c>
      <c r="G488" s="90" t="s">
        <v>4</v>
      </c>
      <c r="H488" s="90" t="s">
        <v>15</v>
      </c>
      <c r="I488" s="90" t="s">
        <v>16</v>
      </c>
      <c r="J488" s="90" t="s">
        <v>56</v>
      </c>
      <c r="K488" s="90" t="s">
        <v>12</v>
      </c>
      <c r="L488" s="90" t="s">
        <v>13</v>
      </c>
      <c r="M488" s="90" t="s">
        <v>101</v>
      </c>
      <c r="N488" s="90" t="s">
        <v>100</v>
      </c>
      <c r="O488" s="90" t="s">
        <v>102</v>
      </c>
      <c r="P488" s="90" t="s">
        <v>5</v>
      </c>
    </row>
    <row r="489" spans="1:16" ht="36.75" customHeight="1" thickTop="1" thickBot="1" x14ac:dyDescent="0.35">
      <c r="A489" s="71" t="str">
        <f t="shared" si="52"/>
        <v>صباغة</v>
      </c>
      <c r="B489" s="164" t="s">
        <v>182</v>
      </c>
      <c r="C489" s="166" t="s">
        <v>184</v>
      </c>
      <c r="D489" s="168" t="s">
        <v>7</v>
      </c>
      <c r="E489" s="166" t="s">
        <v>190</v>
      </c>
      <c r="F489" s="70" t="s">
        <v>160</v>
      </c>
      <c r="G489" s="71">
        <v>200</v>
      </c>
      <c r="H489" s="70" t="s">
        <v>94</v>
      </c>
      <c r="I489" s="70" t="s">
        <v>187</v>
      </c>
      <c r="J489" s="154">
        <f>(K489-(K489*I495))-L495</f>
        <v>1835.1</v>
      </c>
      <c r="K489" s="156">
        <f>850+985.1</f>
        <v>1835.1</v>
      </c>
      <c r="L489" s="72"/>
      <c r="M489" s="72"/>
      <c r="N489" s="129">
        <f t="shared" si="49"/>
        <v>0</v>
      </c>
      <c r="O489" s="74">
        <f>(G489-(G489*I495))-L489</f>
        <v>200</v>
      </c>
      <c r="P489" s="175" t="s">
        <v>57</v>
      </c>
    </row>
    <row r="490" spans="1:16" ht="36.75" customHeight="1" thickTop="1" thickBot="1" x14ac:dyDescent="0.35">
      <c r="A490" s="71" t="str">
        <f t="shared" si="52"/>
        <v>صباغة</v>
      </c>
      <c r="B490" s="165"/>
      <c r="C490" s="167"/>
      <c r="D490" s="169"/>
      <c r="E490" s="167"/>
      <c r="F490" s="70" t="s">
        <v>172</v>
      </c>
      <c r="G490" s="71">
        <v>200</v>
      </c>
      <c r="H490" s="70" t="s">
        <v>94</v>
      </c>
      <c r="I490" s="70" t="s">
        <v>187</v>
      </c>
      <c r="J490" s="155"/>
      <c r="K490" s="157"/>
      <c r="L490" s="72"/>
      <c r="M490" s="72"/>
      <c r="N490" s="129">
        <f t="shared" si="49"/>
        <v>0</v>
      </c>
      <c r="O490" s="74">
        <f>(G490-(G490*I495))-L490</f>
        <v>200</v>
      </c>
      <c r="P490" s="175"/>
    </row>
    <row r="491" spans="1:16" ht="36.75" customHeight="1" thickTop="1" thickBot="1" x14ac:dyDescent="0.35">
      <c r="A491" s="71" t="str">
        <f t="shared" si="52"/>
        <v>صباغة</v>
      </c>
      <c r="B491" s="165"/>
      <c r="C491" s="167"/>
      <c r="D491" s="169"/>
      <c r="E491" s="167"/>
      <c r="F491" s="70" t="s">
        <v>20</v>
      </c>
      <c r="G491" s="71">
        <v>200</v>
      </c>
      <c r="H491" s="70" t="s">
        <v>94</v>
      </c>
      <c r="I491" s="70" t="s">
        <v>187</v>
      </c>
      <c r="J491" s="155"/>
      <c r="K491" s="157"/>
      <c r="L491" s="72"/>
      <c r="M491" s="72"/>
      <c r="N491" s="129">
        <f t="shared" si="49"/>
        <v>0</v>
      </c>
      <c r="O491" s="74">
        <f>(G491-(G491*I495))-L491</f>
        <v>200</v>
      </c>
      <c r="P491" s="175"/>
    </row>
    <row r="492" spans="1:16" ht="36.75" customHeight="1" thickTop="1" thickBot="1" x14ac:dyDescent="0.35">
      <c r="A492" s="71" t="str">
        <f t="shared" si="52"/>
        <v>صباغة</v>
      </c>
      <c r="B492" s="165"/>
      <c r="C492" s="167"/>
      <c r="D492" s="169"/>
      <c r="E492" s="167"/>
      <c r="F492" s="70" t="s">
        <v>69</v>
      </c>
      <c r="G492" s="71">
        <v>200</v>
      </c>
      <c r="H492" s="70" t="s">
        <v>94</v>
      </c>
      <c r="I492" s="70" t="s">
        <v>187</v>
      </c>
      <c r="J492" s="155"/>
      <c r="K492" s="157"/>
      <c r="L492" s="72"/>
      <c r="M492" s="72"/>
      <c r="N492" s="129">
        <f t="shared" si="49"/>
        <v>0</v>
      </c>
      <c r="O492" s="74">
        <f>(G492-(G492*I495))-L492</f>
        <v>200</v>
      </c>
      <c r="P492" s="175"/>
    </row>
    <row r="493" spans="1:16" ht="36.75" customHeight="1" thickTop="1" thickBot="1" x14ac:dyDescent="0.35">
      <c r="A493" s="71" t="str">
        <f t="shared" si="52"/>
        <v>صباغة</v>
      </c>
      <c r="B493" s="165"/>
      <c r="C493" s="167"/>
      <c r="D493" s="169"/>
      <c r="E493" s="167"/>
      <c r="F493" s="70" t="s">
        <v>186</v>
      </c>
      <c r="G493" s="71">
        <v>200</v>
      </c>
      <c r="H493" s="70" t="s">
        <v>94</v>
      </c>
      <c r="I493" s="70" t="s">
        <v>187</v>
      </c>
      <c r="J493" s="155"/>
      <c r="K493" s="157"/>
      <c r="L493" s="72"/>
      <c r="M493" s="72"/>
      <c r="N493" s="129">
        <f t="shared" si="49"/>
        <v>0</v>
      </c>
      <c r="O493" s="74">
        <f>(G493-(G493*I495))-L493</f>
        <v>200</v>
      </c>
      <c r="P493" s="175"/>
    </row>
    <row r="494" spans="1:16" ht="36.75" customHeight="1" thickTop="1" thickBot="1" x14ac:dyDescent="0.35">
      <c r="A494" s="71" t="str">
        <f t="shared" si="52"/>
        <v>صباغة</v>
      </c>
      <c r="B494" s="165"/>
      <c r="C494" s="167"/>
      <c r="D494" s="169"/>
      <c r="E494" s="167"/>
      <c r="F494" s="70" t="s">
        <v>117</v>
      </c>
      <c r="G494" s="71">
        <v>200</v>
      </c>
      <c r="H494" s="70" t="s">
        <v>94</v>
      </c>
      <c r="I494" s="70" t="s">
        <v>187</v>
      </c>
      <c r="J494" s="155"/>
      <c r="K494" s="157"/>
      <c r="L494" s="72">
        <f>86.5</f>
        <v>86.5</v>
      </c>
      <c r="M494" s="72"/>
      <c r="N494" s="129">
        <f t="shared" si="49"/>
        <v>86.5</v>
      </c>
      <c r="O494" s="74">
        <f>(G494-(G494*I495))-L494</f>
        <v>113.5</v>
      </c>
      <c r="P494" s="175"/>
    </row>
    <row r="495" spans="1:16" ht="36.75" customHeight="1" thickTop="1" thickBot="1" x14ac:dyDescent="0.35">
      <c r="A495" s="71" t="str">
        <f t="shared" si="52"/>
        <v>صباغة</v>
      </c>
      <c r="B495" s="161" t="s">
        <v>29</v>
      </c>
      <c r="C495" s="162"/>
      <c r="D495" s="162"/>
      <c r="E495" s="162"/>
      <c r="F495" s="163"/>
      <c r="G495" s="70">
        <f>SUM(G489:G494)</f>
        <v>1200</v>
      </c>
      <c r="H495" s="2" t="s">
        <v>30</v>
      </c>
      <c r="I495" s="3">
        <v>0</v>
      </c>
      <c r="J495" s="73"/>
      <c r="K495" s="72"/>
      <c r="L495" s="72"/>
      <c r="M495" s="72"/>
      <c r="N495" s="129">
        <f t="shared" si="49"/>
        <v>0</v>
      </c>
      <c r="O495" s="74">
        <f>SUM(O489:O494)</f>
        <v>1113.5</v>
      </c>
      <c r="P495" s="175"/>
    </row>
    <row r="496" spans="1:16" ht="36.75" customHeight="1" thickTop="1" thickBot="1" x14ac:dyDescent="0.35">
      <c r="A496" s="88" t="s">
        <v>48</v>
      </c>
      <c r="B496" s="88" t="s">
        <v>0</v>
      </c>
      <c r="C496" s="88" t="s">
        <v>1</v>
      </c>
      <c r="D496" s="89" t="s">
        <v>2</v>
      </c>
      <c r="E496" s="88" t="s">
        <v>3</v>
      </c>
      <c r="F496" s="88" t="s">
        <v>11</v>
      </c>
      <c r="G496" s="88" t="s">
        <v>4</v>
      </c>
      <c r="H496" s="88" t="s">
        <v>15</v>
      </c>
      <c r="I496" s="88" t="s">
        <v>16</v>
      </c>
      <c r="J496" s="88" t="s">
        <v>56</v>
      </c>
      <c r="K496" s="88" t="s">
        <v>12</v>
      </c>
      <c r="L496" s="88" t="s">
        <v>13</v>
      </c>
      <c r="M496" s="88" t="s">
        <v>101</v>
      </c>
      <c r="N496" s="88" t="s">
        <v>100</v>
      </c>
      <c r="O496" s="88" t="s">
        <v>102</v>
      </c>
      <c r="P496" s="88" t="s">
        <v>5</v>
      </c>
    </row>
    <row r="497" spans="1:17" ht="36.75" customHeight="1" thickTop="1" thickBot="1" x14ac:dyDescent="0.35">
      <c r="A497" s="86" t="s">
        <v>48</v>
      </c>
      <c r="B497" s="81" t="s">
        <v>195</v>
      </c>
      <c r="C497" s="86" t="s">
        <v>79</v>
      </c>
      <c r="D497" s="83" t="s">
        <v>7</v>
      </c>
      <c r="E497" s="86" t="s">
        <v>194</v>
      </c>
      <c r="F497" s="80" t="s">
        <v>117</v>
      </c>
      <c r="G497" s="86">
        <v>150</v>
      </c>
      <c r="H497" s="80" t="s">
        <v>37</v>
      </c>
      <c r="I497" s="80" t="s">
        <v>113</v>
      </c>
      <c r="J497" s="84">
        <f>(K497-(K497*I498))-L498</f>
        <v>-113.39999999999999</v>
      </c>
      <c r="K497" s="85">
        <v>22.7</v>
      </c>
      <c r="L497" s="85">
        <f>136.1</f>
        <v>136.1</v>
      </c>
      <c r="M497" s="85">
        <v>6</v>
      </c>
      <c r="N497" s="85">
        <f>L497-M497</f>
        <v>130.1</v>
      </c>
      <c r="O497" s="87">
        <f>(G497-(G497*I498))-L497</f>
        <v>13.900000000000006</v>
      </c>
      <c r="P497" s="184" t="s">
        <v>10</v>
      </c>
    </row>
    <row r="498" spans="1:17" ht="36.75" customHeight="1" thickTop="1" thickBot="1" x14ac:dyDescent="0.35">
      <c r="A498" s="80" t="str">
        <f>A497</f>
        <v>تسليم</v>
      </c>
      <c r="B498" s="161" t="s">
        <v>29</v>
      </c>
      <c r="C498" s="162"/>
      <c r="D498" s="162"/>
      <c r="E498" s="162"/>
      <c r="F498" s="163"/>
      <c r="G498" s="80">
        <f>SUM(G497)</f>
        <v>150</v>
      </c>
      <c r="H498" s="2" t="s">
        <v>30</v>
      </c>
      <c r="I498" s="3">
        <v>0</v>
      </c>
      <c r="J498" s="84"/>
      <c r="K498" s="85"/>
      <c r="L498" s="85">
        <f>SUM(L497:L497)</f>
        <v>136.1</v>
      </c>
      <c r="M498" s="85">
        <f>SUBTOTAL(9,M497)</f>
        <v>6</v>
      </c>
      <c r="N498" s="85">
        <f>SUBTOTAL(9,N497)</f>
        <v>130.1</v>
      </c>
      <c r="O498" s="85">
        <f>SUM(O497:O497)</f>
        <v>13.900000000000006</v>
      </c>
      <c r="P498" s="193"/>
    </row>
    <row r="499" spans="1:17" ht="36.75" customHeight="1" thickTop="1" thickBot="1" x14ac:dyDescent="0.35">
      <c r="A499" s="88" t="s">
        <v>32</v>
      </c>
      <c r="B499" s="88" t="s">
        <v>0</v>
      </c>
      <c r="C499" s="88" t="s">
        <v>1</v>
      </c>
      <c r="D499" s="89" t="s">
        <v>2</v>
      </c>
      <c r="E499" s="88" t="s">
        <v>3</v>
      </c>
      <c r="F499" s="88" t="s">
        <v>11</v>
      </c>
      <c r="G499" s="88" t="s">
        <v>4</v>
      </c>
      <c r="H499" s="88" t="s">
        <v>15</v>
      </c>
      <c r="I499" s="88" t="s">
        <v>16</v>
      </c>
      <c r="J499" s="88" t="s">
        <v>56</v>
      </c>
      <c r="K499" s="88" t="s">
        <v>12</v>
      </c>
      <c r="L499" s="88" t="s">
        <v>13</v>
      </c>
      <c r="M499" s="88" t="s">
        <v>101</v>
      </c>
      <c r="N499" s="88" t="s">
        <v>100</v>
      </c>
      <c r="O499" s="88" t="s">
        <v>102</v>
      </c>
      <c r="P499" s="88" t="s">
        <v>5</v>
      </c>
    </row>
    <row r="500" spans="1:17" ht="36.75" customHeight="1" thickTop="1" thickBot="1" x14ac:dyDescent="0.35">
      <c r="A500" s="86" t="str">
        <f>A499</f>
        <v>صباغة</v>
      </c>
      <c r="B500" s="81" t="s">
        <v>169</v>
      </c>
      <c r="C500" s="82" t="s">
        <v>97</v>
      </c>
      <c r="D500" s="83" t="s">
        <v>7</v>
      </c>
      <c r="E500" s="86" t="s">
        <v>196</v>
      </c>
      <c r="F500" s="80" t="s">
        <v>117</v>
      </c>
      <c r="G500" s="86">
        <v>150</v>
      </c>
      <c r="H500" s="80" t="s">
        <v>37</v>
      </c>
      <c r="I500" s="80" t="s">
        <v>113</v>
      </c>
      <c r="J500" s="84">
        <f>(K500-(K500*I501))-L501</f>
        <v>160</v>
      </c>
      <c r="K500" s="85">
        <v>160</v>
      </c>
      <c r="L500" s="85"/>
      <c r="M500" s="85"/>
      <c r="N500" s="85">
        <f>L500-M500</f>
        <v>0</v>
      </c>
      <c r="O500" s="87">
        <f>(G500-(G500*I501))-L500</f>
        <v>150</v>
      </c>
      <c r="P500" s="184" t="s">
        <v>57</v>
      </c>
    </row>
    <row r="501" spans="1:17" ht="36.75" customHeight="1" thickTop="1" thickBot="1" x14ac:dyDescent="0.35">
      <c r="A501" s="80" t="str">
        <f>A500</f>
        <v>صباغة</v>
      </c>
      <c r="B501" s="161" t="s">
        <v>29</v>
      </c>
      <c r="C501" s="162"/>
      <c r="D501" s="162"/>
      <c r="E501" s="162"/>
      <c r="F501" s="163"/>
      <c r="G501" s="80">
        <f>SUM(G500)</f>
        <v>150</v>
      </c>
      <c r="H501" s="2" t="s">
        <v>30</v>
      </c>
      <c r="I501" s="3">
        <v>0</v>
      </c>
      <c r="J501" s="84"/>
      <c r="K501" s="85"/>
      <c r="L501" s="85">
        <f>SUM(L500:L500)</f>
        <v>0</v>
      </c>
      <c r="M501" s="85">
        <f>SUBTOTAL(9,M500)</f>
        <v>0</v>
      </c>
      <c r="N501" s="85">
        <f>SUBTOTAL(9,N500)</f>
        <v>0</v>
      </c>
      <c r="O501" s="85">
        <f>SUM(O500:O500)</f>
        <v>150</v>
      </c>
      <c r="P501" s="193"/>
    </row>
    <row r="502" spans="1:17" ht="36.75" customHeight="1" thickTop="1" thickBot="1" x14ac:dyDescent="0.35">
      <c r="A502" s="90" t="s">
        <v>32</v>
      </c>
      <c r="B502" s="88" t="s">
        <v>0</v>
      </c>
      <c r="C502" s="88" t="s">
        <v>1</v>
      </c>
      <c r="D502" s="89" t="s">
        <v>2</v>
      </c>
      <c r="E502" s="88" t="s">
        <v>3</v>
      </c>
      <c r="F502" s="88" t="s">
        <v>11</v>
      </c>
      <c r="G502" s="88" t="s">
        <v>4</v>
      </c>
      <c r="H502" s="88" t="s">
        <v>15</v>
      </c>
      <c r="I502" s="88" t="s">
        <v>16</v>
      </c>
      <c r="J502" s="88" t="s">
        <v>56</v>
      </c>
      <c r="K502" s="88" t="s">
        <v>12</v>
      </c>
      <c r="L502" s="88" t="s">
        <v>13</v>
      </c>
      <c r="M502" s="88" t="s">
        <v>101</v>
      </c>
      <c r="N502" s="88" t="s">
        <v>100</v>
      </c>
      <c r="O502" s="88" t="s">
        <v>102</v>
      </c>
      <c r="P502" s="88" t="s">
        <v>5</v>
      </c>
      <c r="Q502" s="142"/>
    </row>
    <row r="503" spans="1:17" ht="36.75" customHeight="1" thickTop="1" thickBot="1" x14ac:dyDescent="0.35">
      <c r="A503" s="135" t="str">
        <f t="shared" ref="A503:A508" si="53">A502</f>
        <v>صباغة</v>
      </c>
      <c r="B503" s="164" t="s">
        <v>201</v>
      </c>
      <c r="C503" s="166" t="s">
        <v>202</v>
      </c>
      <c r="D503" s="168" t="s">
        <v>7</v>
      </c>
      <c r="E503" s="166" t="s">
        <v>194</v>
      </c>
      <c r="F503" s="132" t="s">
        <v>39</v>
      </c>
      <c r="G503" s="135">
        <v>500</v>
      </c>
      <c r="H503" s="132" t="s">
        <v>43</v>
      </c>
      <c r="I503" s="132" t="s">
        <v>191</v>
      </c>
      <c r="J503" s="154">
        <f>(K503-(K503*I511))-L511</f>
        <v>5081.4000000000005</v>
      </c>
      <c r="K503" s="156">
        <f>1241.1+399.3+407+408.4+610.2+507.9+501.4+504.5+501.6</f>
        <v>5081.4000000000005</v>
      </c>
      <c r="L503" s="134"/>
      <c r="M503" s="134"/>
      <c r="N503" s="134">
        <f>L503-M503</f>
        <v>0</v>
      </c>
      <c r="O503" s="136">
        <f>(G503-(G503*I511))-L503</f>
        <v>500</v>
      </c>
      <c r="P503" s="179" t="s">
        <v>57</v>
      </c>
      <c r="Q503" s="142"/>
    </row>
    <row r="504" spans="1:17" ht="36.75" customHeight="1" thickTop="1" thickBot="1" x14ac:dyDescent="0.35">
      <c r="A504" s="135" t="str">
        <f>A503</f>
        <v>صباغة</v>
      </c>
      <c r="B504" s="165"/>
      <c r="C504" s="167"/>
      <c r="D504" s="169"/>
      <c r="E504" s="167"/>
      <c r="F504" s="132" t="s">
        <v>21</v>
      </c>
      <c r="G504" s="135">
        <v>500</v>
      </c>
      <c r="H504" s="132" t="s">
        <v>94</v>
      </c>
      <c r="I504" s="132" t="s">
        <v>191</v>
      </c>
      <c r="J504" s="155"/>
      <c r="K504" s="157"/>
      <c r="L504" s="134"/>
      <c r="M504" s="134"/>
      <c r="N504" s="134">
        <f t="shared" ref="N504:N508" si="54">L504-M504</f>
        <v>0</v>
      </c>
      <c r="O504" s="136">
        <f>(G504-(G504*I511))-L504</f>
        <v>500</v>
      </c>
      <c r="P504" s="179"/>
      <c r="Q504" s="142"/>
    </row>
    <row r="505" spans="1:17" ht="36.75" customHeight="1" thickTop="1" thickBot="1" x14ac:dyDescent="0.35">
      <c r="A505" s="135" t="str">
        <f t="shared" si="53"/>
        <v>صباغة</v>
      </c>
      <c r="B505" s="165"/>
      <c r="C505" s="167"/>
      <c r="D505" s="169"/>
      <c r="E505" s="167"/>
      <c r="F505" s="132" t="s">
        <v>17</v>
      </c>
      <c r="G505" s="135">
        <v>2000</v>
      </c>
      <c r="H505" s="132" t="s">
        <v>94</v>
      </c>
      <c r="I505" s="132" t="s">
        <v>191</v>
      </c>
      <c r="J505" s="155"/>
      <c r="K505" s="157"/>
      <c r="L505" s="134"/>
      <c r="M505" s="134"/>
      <c r="N505" s="134">
        <f t="shared" si="54"/>
        <v>0</v>
      </c>
      <c r="O505" s="136">
        <f>(G505-(G505*I511))-L505</f>
        <v>2000</v>
      </c>
      <c r="P505" s="179"/>
      <c r="Q505" s="142"/>
    </row>
    <row r="506" spans="1:17" ht="36.75" customHeight="1" thickTop="1" thickBot="1" x14ac:dyDescent="0.35">
      <c r="A506" s="135" t="str">
        <f t="shared" si="53"/>
        <v>صباغة</v>
      </c>
      <c r="B506" s="165"/>
      <c r="C506" s="167"/>
      <c r="D506" s="169"/>
      <c r="E506" s="167"/>
      <c r="F506" s="132" t="s">
        <v>20</v>
      </c>
      <c r="G506" s="135">
        <v>1000</v>
      </c>
      <c r="H506" s="132" t="s">
        <v>94</v>
      </c>
      <c r="I506" s="132" t="s">
        <v>191</v>
      </c>
      <c r="J506" s="155"/>
      <c r="K506" s="157"/>
      <c r="L506" s="134"/>
      <c r="M506" s="134"/>
      <c r="N506" s="134">
        <f t="shared" si="54"/>
        <v>0</v>
      </c>
      <c r="O506" s="136">
        <f>(G506-(G506*I511))-L506</f>
        <v>1000</v>
      </c>
      <c r="P506" s="179"/>
      <c r="Q506" s="142"/>
    </row>
    <row r="507" spans="1:17" ht="36.75" customHeight="1" thickTop="1" thickBot="1" x14ac:dyDescent="0.35">
      <c r="A507" s="135" t="str">
        <f t="shared" si="53"/>
        <v>صباغة</v>
      </c>
      <c r="B507" s="165"/>
      <c r="C507" s="167"/>
      <c r="D507" s="169"/>
      <c r="E507" s="167"/>
      <c r="F507" s="132" t="s">
        <v>118</v>
      </c>
      <c r="G507" s="135">
        <v>500</v>
      </c>
      <c r="H507" s="132" t="s">
        <v>94</v>
      </c>
      <c r="I507" s="132" t="s">
        <v>191</v>
      </c>
      <c r="J507" s="155"/>
      <c r="K507" s="157"/>
      <c r="L507" s="134"/>
      <c r="M507" s="134"/>
      <c r="N507" s="134">
        <f t="shared" si="54"/>
        <v>0</v>
      </c>
      <c r="O507" s="136">
        <f>(G507-(G507*I511))-L507</f>
        <v>500</v>
      </c>
      <c r="P507" s="179"/>
      <c r="Q507" s="142"/>
    </row>
    <row r="508" spans="1:17" ht="36.75" customHeight="1" thickTop="1" thickBot="1" x14ac:dyDescent="0.35">
      <c r="A508" s="135" t="str">
        <f t="shared" si="53"/>
        <v>صباغة</v>
      </c>
      <c r="B508" s="165"/>
      <c r="C508" s="167"/>
      <c r="D508" s="169"/>
      <c r="E508" s="167"/>
      <c r="F508" s="132" t="s">
        <v>120</v>
      </c>
      <c r="G508" s="135">
        <v>500</v>
      </c>
      <c r="H508" s="132" t="s">
        <v>94</v>
      </c>
      <c r="I508" s="132" t="s">
        <v>191</v>
      </c>
      <c r="J508" s="155"/>
      <c r="K508" s="157"/>
      <c r="L508" s="134"/>
      <c r="M508" s="134"/>
      <c r="N508" s="134">
        <f t="shared" si="54"/>
        <v>0</v>
      </c>
      <c r="O508" s="136">
        <f>(G508-(G508*I511))-L508</f>
        <v>500</v>
      </c>
      <c r="P508" s="179"/>
      <c r="Q508" s="142"/>
    </row>
    <row r="509" spans="1:17" ht="36.75" customHeight="1" thickTop="1" thickBot="1" x14ac:dyDescent="0.35">
      <c r="A509" s="135" t="str">
        <f>A508</f>
        <v>صباغة</v>
      </c>
      <c r="B509" s="165"/>
      <c r="C509" s="167"/>
      <c r="D509" s="169"/>
      <c r="E509" s="167"/>
      <c r="F509" s="132" t="s">
        <v>70</v>
      </c>
      <c r="G509" s="135">
        <v>500</v>
      </c>
      <c r="H509" s="132" t="s">
        <v>94</v>
      </c>
      <c r="I509" s="132" t="s">
        <v>191</v>
      </c>
      <c r="J509" s="155"/>
      <c r="K509" s="157"/>
      <c r="L509" s="134"/>
      <c r="M509" s="134"/>
      <c r="N509" s="134">
        <f t="shared" ref="N509" si="55">L509-M509</f>
        <v>0</v>
      </c>
      <c r="O509" s="136">
        <f>(G509-(G509*I511))-L509</f>
        <v>500</v>
      </c>
      <c r="P509" s="179"/>
      <c r="Q509" s="142"/>
    </row>
    <row r="510" spans="1:17" ht="36.75" customHeight="1" thickTop="1" thickBot="1" x14ac:dyDescent="0.35">
      <c r="A510" s="135" t="str">
        <f>A509</f>
        <v>صباغة</v>
      </c>
      <c r="B510" s="170"/>
      <c r="C510" s="171"/>
      <c r="D510" s="172"/>
      <c r="E510" s="171"/>
      <c r="F510" s="132" t="s">
        <v>160</v>
      </c>
      <c r="G510" s="135">
        <v>500</v>
      </c>
      <c r="H510" s="132" t="s">
        <v>94</v>
      </c>
      <c r="I510" s="132" t="s">
        <v>191</v>
      </c>
      <c r="J510" s="173"/>
      <c r="K510" s="174"/>
      <c r="L510" s="134"/>
      <c r="M510" s="134"/>
      <c r="N510" s="134">
        <f t="shared" ref="N510" si="56">L510-M510</f>
        <v>0</v>
      </c>
      <c r="O510" s="136">
        <f>(G510-(G510*I511))-L510</f>
        <v>500</v>
      </c>
      <c r="P510" s="179"/>
      <c r="Q510" s="142"/>
    </row>
    <row r="511" spans="1:17" ht="36.75" customHeight="1" thickTop="1" thickBot="1" x14ac:dyDescent="0.35">
      <c r="A511" s="135" t="str">
        <f>A508</f>
        <v>صباغة</v>
      </c>
      <c r="B511" s="179" t="s">
        <v>29</v>
      </c>
      <c r="C511" s="179"/>
      <c r="D511" s="179"/>
      <c r="E511" s="179"/>
      <c r="F511" s="179"/>
      <c r="G511" s="132">
        <f>SUM(G503:G510)</f>
        <v>6000</v>
      </c>
      <c r="H511" s="2" t="s">
        <v>30</v>
      </c>
      <c r="I511" s="3">
        <v>0</v>
      </c>
      <c r="J511" s="133"/>
      <c r="K511" s="134"/>
      <c r="L511" s="134">
        <f>SUM(L503:L508)</f>
        <v>0</v>
      </c>
      <c r="M511" s="134"/>
      <c r="N511" s="134">
        <f>L511-M511</f>
        <v>0</v>
      </c>
      <c r="O511" s="136">
        <f>(G511-(G511*I511))-L511</f>
        <v>6000</v>
      </c>
      <c r="P511" s="179"/>
      <c r="Q511" s="142"/>
    </row>
    <row r="512" spans="1:17" ht="36.75" customHeight="1" thickTop="1" thickBot="1" x14ac:dyDescent="0.35">
      <c r="A512" s="90" t="s">
        <v>32</v>
      </c>
      <c r="B512" s="90" t="s">
        <v>0</v>
      </c>
      <c r="C512" s="90" t="s">
        <v>1</v>
      </c>
      <c r="D512" s="91" t="s">
        <v>2</v>
      </c>
      <c r="E512" s="90" t="s">
        <v>3</v>
      </c>
      <c r="F512" s="90" t="s">
        <v>11</v>
      </c>
      <c r="G512" s="90" t="s">
        <v>4</v>
      </c>
      <c r="H512" s="90" t="s">
        <v>15</v>
      </c>
      <c r="I512" s="90" t="s">
        <v>16</v>
      </c>
      <c r="J512" s="90" t="s">
        <v>56</v>
      </c>
      <c r="K512" s="90" t="s">
        <v>12</v>
      </c>
      <c r="L512" s="90" t="s">
        <v>13</v>
      </c>
      <c r="M512" s="90" t="s">
        <v>101</v>
      </c>
      <c r="N512" s="90" t="s">
        <v>100</v>
      </c>
      <c r="O512" s="90" t="s">
        <v>102</v>
      </c>
      <c r="P512" s="90" t="s">
        <v>5</v>
      </c>
    </row>
    <row r="513" spans="1:16" ht="36.75" customHeight="1" thickTop="1" thickBot="1" x14ac:dyDescent="0.35">
      <c r="A513" s="115" t="str">
        <f>A512</f>
        <v>صباغة</v>
      </c>
      <c r="B513" s="164" t="s">
        <v>201</v>
      </c>
      <c r="C513" s="166" t="s">
        <v>203</v>
      </c>
      <c r="D513" s="168" t="s">
        <v>47</v>
      </c>
      <c r="E513" s="115" t="s">
        <v>185</v>
      </c>
      <c r="F513" s="114" t="s">
        <v>117</v>
      </c>
      <c r="G513" s="115">
        <v>300</v>
      </c>
      <c r="H513" s="114" t="s">
        <v>43</v>
      </c>
      <c r="I513" s="114" t="s">
        <v>191</v>
      </c>
      <c r="J513" s="154">
        <f>(K513-(K513*I523))-L523</f>
        <v>3000</v>
      </c>
      <c r="K513" s="156">
        <f>3000</f>
        <v>3000</v>
      </c>
      <c r="L513" s="116"/>
      <c r="M513" s="116"/>
      <c r="N513" s="129">
        <f t="shared" ref="N513:N545" si="57">L513-M513</f>
        <v>0</v>
      </c>
      <c r="O513" s="118">
        <f>(G513-(G513*I523))-L513</f>
        <v>300</v>
      </c>
      <c r="P513" s="175" t="s">
        <v>57</v>
      </c>
    </row>
    <row r="514" spans="1:16" ht="36.75" customHeight="1" thickTop="1" thickBot="1" x14ac:dyDescent="0.35">
      <c r="A514" s="115" t="str">
        <f>A513</f>
        <v>صباغة</v>
      </c>
      <c r="B514" s="165"/>
      <c r="C514" s="167"/>
      <c r="D514" s="169"/>
      <c r="E514" s="115" t="str">
        <f>E513</f>
        <v xml:space="preserve">ممشط 30/1 ليكرا </v>
      </c>
      <c r="F514" s="114" t="s">
        <v>172</v>
      </c>
      <c r="G514" s="115">
        <v>300</v>
      </c>
      <c r="H514" s="114" t="s">
        <v>43</v>
      </c>
      <c r="I514" s="114" t="s">
        <v>191</v>
      </c>
      <c r="J514" s="155"/>
      <c r="K514" s="157"/>
      <c r="L514" s="116"/>
      <c r="M514" s="116"/>
      <c r="N514" s="129">
        <f t="shared" si="57"/>
        <v>0</v>
      </c>
      <c r="O514" s="118">
        <f>(G514-(G514*I523))-L514</f>
        <v>300</v>
      </c>
      <c r="P514" s="175"/>
    </row>
    <row r="515" spans="1:16" ht="36.75" customHeight="1" thickTop="1" thickBot="1" x14ac:dyDescent="0.35">
      <c r="A515" s="115" t="str">
        <f t="shared" ref="A515:A523" si="58">A514</f>
        <v>صباغة</v>
      </c>
      <c r="B515" s="165"/>
      <c r="C515" s="167"/>
      <c r="D515" s="169"/>
      <c r="E515" s="115" t="str">
        <f>E513</f>
        <v xml:space="preserve">ممشط 30/1 ليكرا </v>
      </c>
      <c r="F515" s="114" t="s">
        <v>204</v>
      </c>
      <c r="G515" s="115">
        <v>300</v>
      </c>
      <c r="H515" s="114" t="s">
        <v>43</v>
      </c>
      <c r="I515" s="114" t="s">
        <v>191</v>
      </c>
      <c r="J515" s="155"/>
      <c r="K515" s="157"/>
      <c r="L515" s="116"/>
      <c r="M515" s="116"/>
      <c r="N515" s="129">
        <f t="shared" si="57"/>
        <v>0</v>
      </c>
      <c r="O515" s="118">
        <f>(G515-(G515*I523))-L515</f>
        <v>300</v>
      </c>
      <c r="P515" s="175"/>
    </row>
    <row r="516" spans="1:16" ht="36.75" customHeight="1" thickTop="1" thickBot="1" x14ac:dyDescent="0.35">
      <c r="A516" s="115" t="str">
        <f t="shared" si="58"/>
        <v>صباغة</v>
      </c>
      <c r="B516" s="165"/>
      <c r="C516" s="167"/>
      <c r="D516" s="169"/>
      <c r="E516" s="115" t="str">
        <f>E513</f>
        <v xml:space="preserve">ممشط 30/1 ليكرا </v>
      </c>
      <c r="F516" s="114" t="s">
        <v>205</v>
      </c>
      <c r="G516" s="115">
        <v>300</v>
      </c>
      <c r="H516" s="114" t="s">
        <v>43</v>
      </c>
      <c r="I516" s="114" t="s">
        <v>191</v>
      </c>
      <c r="J516" s="155"/>
      <c r="K516" s="157"/>
      <c r="L516" s="116"/>
      <c r="M516" s="116"/>
      <c r="N516" s="129">
        <f t="shared" si="57"/>
        <v>0</v>
      </c>
      <c r="O516" s="118">
        <f>(G516-(G516*I523))-L516</f>
        <v>300</v>
      </c>
      <c r="P516" s="175"/>
    </row>
    <row r="517" spans="1:16" ht="36.75" customHeight="1" thickTop="1" thickBot="1" x14ac:dyDescent="0.35">
      <c r="A517" s="115" t="str">
        <f t="shared" si="58"/>
        <v>صباغة</v>
      </c>
      <c r="B517" s="165"/>
      <c r="C517" s="167"/>
      <c r="D517" s="169"/>
      <c r="E517" s="115" t="str">
        <f>E513</f>
        <v xml:space="preserve">ممشط 30/1 ليكرا </v>
      </c>
      <c r="F517" s="114" t="s">
        <v>206</v>
      </c>
      <c r="G517" s="115">
        <v>300</v>
      </c>
      <c r="H517" s="114" t="s">
        <v>43</v>
      </c>
      <c r="I517" s="114" t="s">
        <v>191</v>
      </c>
      <c r="J517" s="155"/>
      <c r="K517" s="157"/>
      <c r="L517" s="116"/>
      <c r="M517" s="116"/>
      <c r="N517" s="129">
        <f t="shared" si="57"/>
        <v>0</v>
      </c>
      <c r="O517" s="118">
        <f>(G517-(G517*I523))-L517</f>
        <v>300</v>
      </c>
      <c r="P517" s="175"/>
    </row>
    <row r="518" spans="1:16" ht="36.75" customHeight="1" thickTop="1" thickBot="1" x14ac:dyDescent="0.35">
      <c r="A518" s="115" t="str">
        <f t="shared" si="58"/>
        <v>صباغة</v>
      </c>
      <c r="B518" s="165"/>
      <c r="C518" s="167"/>
      <c r="D518" s="169"/>
      <c r="E518" s="115" t="str">
        <f>E513</f>
        <v xml:space="preserve">ممشط 30/1 ليكرا </v>
      </c>
      <c r="F518" s="114" t="s">
        <v>160</v>
      </c>
      <c r="G518" s="115">
        <v>300</v>
      </c>
      <c r="H518" s="114" t="s">
        <v>43</v>
      </c>
      <c r="I518" s="114" t="s">
        <v>191</v>
      </c>
      <c r="J518" s="155"/>
      <c r="K518" s="157"/>
      <c r="L518" s="116"/>
      <c r="M518" s="116"/>
      <c r="N518" s="129">
        <f t="shared" si="57"/>
        <v>0</v>
      </c>
      <c r="O518" s="118">
        <f>(G518-(G518*I523))-L518</f>
        <v>300</v>
      </c>
      <c r="P518" s="175"/>
    </row>
    <row r="519" spans="1:16" ht="36.75" customHeight="1" thickTop="1" thickBot="1" x14ac:dyDescent="0.35">
      <c r="A519" s="115" t="str">
        <f t="shared" si="58"/>
        <v>صباغة</v>
      </c>
      <c r="B519" s="165"/>
      <c r="C519" s="167"/>
      <c r="D519" s="169"/>
      <c r="E519" s="115" t="str">
        <f>E518</f>
        <v xml:space="preserve">ممشط 30/1 ليكرا </v>
      </c>
      <c r="F519" s="114" t="s">
        <v>207</v>
      </c>
      <c r="G519" s="115">
        <v>300</v>
      </c>
      <c r="H519" s="114" t="s">
        <v>43</v>
      </c>
      <c r="I519" s="114" t="s">
        <v>191</v>
      </c>
      <c r="J519" s="155"/>
      <c r="K519" s="157"/>
      <c r="L519" s="116"/>
      <c r="M519" s="116"/>
      <c r="N519" s="129">
        <f t="shared" si="57"/>
        <v>0</v>
      </c>
      <c r="O519" s="118">
        <f>(G519-(G519*I523))-L519</f>
        <v>300</v>
      </c>
      <c r="P519" s="175"/>
    </row>
    <row r="520" spans="1:16" ht="36.75" customHeight="1" thickTop="1" thickBot="1" x14ac:dyDescent="0.35">
      <c r="A520" s="115" t="str">
        <f t="shared" si="58"/>
        <v>صباغة</v>
      </c>
      <c r="B520" s="165"/>
      <c r="C520" s="167"/>
      <c r="D520" s="169"/>
      <c r="E520" s="115" t="str">
        <f>E519</f>
        <v xml:space="preserve">ممشط 30/1 ليكرا </v>
      </c>
      <c r="F520" s="114" t="s">
        <v>208</v>
      </c>
      <c r="G520" s="115">
        <v>300</v>
      </c>
      <c r="H520" s="114" t="s">
        <v>43</v>
      </c>
      <c r="I520" s="114" t="s">
        <v>191</v>
      </c>
      <c r="J520" s="155"/>
      <c r="K520" s="157"/>
      <c r="L520" s="116"/>
      <c r="M520" s="116"/>
      <c r="N520" s="129">
        <f t="shared" si="57"/>
        <v>0</v>
      </c>
      <c r="O520" s="118">
        <f>(G520-(G520*I523))-L520</f>
        <v>300</v>
      </c>
      <c r="P520" s="175"/>
    </row>
    <row r="521" spans="1:16" ht="36.75" customHeight="1" thickTop="1" thickBot="1" x14ac:dyDescent="0.35">
      <c r="A521" s="115" t="str">
        <f t="shared" si="58"/>
        <v>صباغة</v>
      </c>
      <c r="B521" s="165"/>
      <c r="C521" s="167"/>
      <c r="D521" s="169"/>
      <c r="E521" s="115" t="str">
        <f>E520</f>
        <v xml:space="preserve">ممشط 30/1 ليكرا </v>
      </c>
      <c r="F521" s="114" t="s">
        <v>209</v>
      </c>
      <c r="G521" s="115">
        <v>300</v>
      </c>
      <c r="H521" s="114" t="s">
        <v>43</v>
      </c>
      <c r="I521" s="114" t="s">
        <v>191</v>
      </c>
      <c r="J521" s="155"/>
      <c r="K521" s="157"/>
      <c r="L521" s="116"/>
      <c r="M521" s="116"/>
      <c r="N521" s="129">
        <f t="shared" si="57"/>
        <v>0</v>
      </c>
      <c r="O521" s="118">
        <f>(G521-(G521*I523))-L521</f>
        <v>300</v>
      </c>
      <c r="P521" s="175"/>
    </row>
    <row r="522" spans="1:16" ht="36.75" customHeight="1" thickTop="1" thickBot="1" x14ac:dyDescent="0.35">
      <c r="A522" s="115" t="str">
        <f t="shared" si="58"/>
        <v>صباغة</v>
      </c>
      <c r="B522" s="165"/>
      <c r="C522" s="167"/>
      <c r="D522" s="169"/>
      <c r="E522" s="115" t="str">
        <f>E521</f>
        <v xml:space="preserve">ممشط 30/1 ليكرا </v>
      </c>
      <c r="F522" s="114" t="s">
        <v>210</v>
      </c>
      <c r="G522" s="115">
        <v>300</v>
      </c>
      <c r="H522" s="114" t="s">
        <v>43</v>
      </c>
      <c r="I522" s="114" t="s">
        <v>191</v>
      </c>
      <c r="J522" s="173"/>
      <c r="K522" s="174"/>
      <c r="L522" s="116"/>
      <c r="M522" s="116"/>
      <c r="N522" s="129">
        <f t="shared" si="57"/>
        <v>0</v>
      </c>
      <c r="O522" s="118">
        <f>(G522-(G522*I523))-L522</f>
        <v>300</v>
      </c>
      <c r="P522" s="175"/>
    </row>
    <row r="523" spans="1:16" ht="36.75" customHeight="1" thickTop="1" thickBot="1" x14ac:dyDescent="0.35">
      <c r="A523" s="115" t="str">
        <f t="shared" si="58"/>
        <v>صباغة</v>
      </c>
      <c r="B523" s="161" t="s">
        <v>29</v>
      </c>
      <c r="C523" s="162"/>
      <c r="D523" s="162"/>
      <c r="E523" s="162"/>
      <c r="F523" s="163"/>
      <c r="G523" s="114">
        <f>G517+G516+G515+G514+G513+G518+G519+G520+G521+G522</f>
        <v>3000</v>
      </c>
      <c r="H523" s="2" t="s">
        <v>30</v>
      </c>
      <c r="I523" s="3">
        <v>0</v>
      </c>
      <c r="J523" s="117"/>
      <c r="K523" s="116"/>
      <c r="L523" s="116">
        <f>SUM(L513:L518)</f>
        <v>0</v>
      </c>
      <c r="M523" s="116"/>
      <c r="N523" s="129">
        <f t="shared" si="57"/>
        <v>0</v>
      </c>
      <c r="O523" s="118">
        <f>SUM(O513:O522)</f>
        <v>3000</v>
      </c>
      <c r="P523" s="175"/>
    </row>
    <row r="524" spans="1:16" ht="36.75" customHeight="1" thickTop="1" thickBot="1" x14ac:dyDescent="0.35">
      <c r="A524" s="90" t="s">
        <v>32</v>
      </c>
      <c r="B524" s="90" t="s">
        <v>0</v>
      </c>
      <c r="C524" s="90" t="s">
        <v>1</v>
      </c>
      <c r="D524" s="91" t="s">
        <v>2</v>
      </c>
      <c r="E524" s="90" t="s">
        <v>3</v>
      </c>
      <c r="F524" s="90" t="s">
        <v>11</v>
      </c>
      <c r="G524" s="90" t="s">
        <v>4</v>
      </c>
      <c r="H524" s="90" t="s">
        <v>15</v>
      </c>
      <c r="I524" s="90" t="s">
        <v>16</v>
      </c>
      <c r="J524" s="90" t="s">
        <v>56</v>
      </c>
      <c r="K524" s="90" t="s">
        <v>12</v>
      </c>
      <c r="L524" s="90" t="s">
        <v>13</v>
      </c>
      <c r="M524" s="90" t="s">
        <v>101</v>
      </c>
      <c r="N524" s="90" t="s">
        <v>100</v>
      </c>
      <c r="O524" s="90" t="s">
        <v>102</v>
      </c>
      <c r="P524" s="90" t="s">
        <v>5</v>
      </c>
    </row>
    <row r="525" spans="1:16" ht="36.75" customHeight="1" thickTop="1" thickBot="1" x14ac:dyDescent="0.35">
      <c r="A525" s="115" t="str">
        <f t="shared" ref="A525:A528" si="59">A524</f>
        <v>صباغة</v>
      </c>
      <c r="B525" s="164" t="s">
        <v>211</v>
      </c>
      <c r="C525" s="166" t="s">
        <v>212</v>
      </c>
      <c r="D525" s="168" t="s">
        <v>7</v>
      </c>
      <c r="E525" s="166" t="s">
        <v>213</v>
      </c>
      <c r="F525" s="114" t="s">
        <v>69</v>
      </c>
      <c r="G525" s="115">
        <v>150</v>
      </c>
      <c r="H525" s="114" t="s">
        <v>215</v>
      </c>
      <c r="I525" s="114" t="s">
        <v>216</v>
      </c>
      <c r="J525" s="154">
        <f>(K525-(K525*I529))-L529</f>
        <v>876.3</v>
      </c>
      <c r="K525" s="156">
        <f>876.3</f>
        <v>876.3</v>
      </c>
      <c r="L525" s="116"/>
      <c r="M525" s="116"/>
      <c r="N525" s="129">
        <f t="shared" si="57"/>
        <v>0</v>
      </c>
      <c r="O525" s="118">
        <f>(G525-(G525*I529))-L525</f>
        <v>150</v>
      </c>
      <c r="P525" s="175" t="s">
        <v>57</v>
      </c>
    </row>
    <row r="526" spans="1:16" ht="36.75" customHeight="1" thickTop="1" thickBot="1" x14ac:dyDescent="0.35">
      <c r="A526" s="115" t="str">
        <f t="shared" si="59"/>
        <v>صباغة</v>
      </c>
      <c r="B526" s="165"/>
      <c r="C526" s="167"/>
      <c r="D526" s="169"/>
      <c r="E526" s="167"/>
      <c r="F526" s="114" t="s">
        <v>208</v>
      </c>
      <c r="G526" s="115">
        <v>250</v>
      </c>
      <c r="H526" s="114" t="s">
        <v>215</v>
      </c>
      <c r="I526" s="114" t="s">
        <v>216</v>
      </c>
      <c r="J526" s="155"/>
      <c r="K526" s="157"/>
      <c r="L526" s="116"/>
      <c r="M526" s="116"/>
      <c r="N526" s="129">
        <f t="shared" si="57"/>
        <v>0</v>
      </c>
      <c r="O526" s="118">
        <f>(G526-(G526*I529))-L526</f>
        <v>250</v>
      </c>
      <c r="P526" s="175"/>
    </row>
    <row r="527" spans="1:16" ht="36.75" customHeight="1" thickTop="1" thickBot="1" x14ac:dyDescent="0.35">
      <c r="A527" s="115" t="str">
        <f t="shared" si="59"/>
        <v>صباغة</v>
      </c>
      <c r="B527" s="165"/>
      <c r="C527" s="167"/>
      <c r="D527" s="169"/>
      <c r="E527" s="167"/>
      <c r="F527" s="114" t="s">
        <v>134</v>
      </c>
      <c r="G527" s="115">
        <v>250</v>
      </c>
      <c r="H527" s="114" t="s">
        <v>215</v>
      </c>
      <c r="I527" s="114" t="s">
        <v>216</v>
      </c>
      <c r="J527" s="155"/>
      <c r="K527" s="157"/>
      <c r="L527" s="116"/>
      <c r="M527" s="116"/>
      <c r="N527" s="129">
        <f t="shared" si="57"/>
        <v>0</v>
      </c>
      <c r="O527" s="118">
        <f>(G527-(G527*I529))-L527</f>
        <v>250</v>
      </c>
      <c r="P527" s="175"/>
    </row>
    <row r="528" spans="1:16" ht="36.75" customHeight="1" thickTop="1" thickBot="1" x14ac:dyDescent="0.35">
      <c r="A528" s="115" t="str">
        <f t="shared" si="59"/>
        <v>صباغة</v>
      </c>
      <c r="B528" s="165"/>
      <c r="C528" s="167"/>
      <c r="D528" s="169"/>
      <c r="E528" s="167"/>
      <c r="F528" s="114" t="s">
        <v>214</v>
      </c>
      <c r="G528" s="115">
        <v>250</v>
      </c>
      <c r="H528" s="114" t="s">
        <v>215</v>
      </c>
      <c r="I528" s="114" t="s">
        <v>216</v>
      </c>
      <c r="J528" s="155"/>
      <c r="K528" s="157"/>
      <c r="L528" s="116"/>
      <c r="M528" s="116"/>
      <c r="N528" s="129">
        <f t="shared" si="57"/>
        <v>0</v>
      </c>
      <c r="O528" s="118">
        <f>(G528-(G528*I529))-L528</f>
        <v>250</v>
      </c>
      <c r="P528" s="175"/>
    </row>
    <row r="529" spans="1:16" ht="36.75" customHeight="1" thickTop="1" thickBot="1" x14ac:dyDescent="0.35">
      <c r="A529" s="115" t="str">
        <f>A528</f>
        <v>صباغة</v>
      </c>
      <c r="B529" s="161" t="s">
        <v>29</v>
      </c>
      <c r="C529" s="162"/>
      <c r="D529" s="162"/>
      <c r="E529" s="162"/>
      <c r="F529" s="163"/>
      <c r="G529" s="114">
        <f>SUM(G525:G528)</f>
        <v>900</v>
      </c>
      <c r="H529" s="2" t="s">
        <v>30</v>
      </c>
      <c r="I529" s="3">
        <v>0</v>
      </c>
      <c r="J529" s="117"/>
      <c r="K529" s="116"/>
      <c r="L529" s="116">
        <f>SUM(L525:L528)</f>
        <v>0</v>
      </c>
      <c r="M529" s="116"/>
      <c r="N529" s="129">
        <f t="shared" si="57"/>
        <v>0</v>
      </c>
      <c r="O529" s="118">
        <f>SUM(O525:O528)</f>
        <v>900</v>
      </c>
      <c r="P529" s="175"/>
    </row>
    <row r="530" spans="1:16" ht="36.75" customHeight="1" thickTop="1" thickBot="1" x14ac:dyDescent="0.35">
      <c r="A530" s="90" t="s">
        <v>32</v>
      </c>
      <c r="B530" s="90" t="s">
        <v>0</v>
      </c>
      <c r="C530" s="90" t="s">
        <v>1</v>
      </c>
      <c r="D530" s="91" t="s">
        <v>2</v>
      </c>
      <c r="E530" s="90" t="s">
        <v>3</v>
      </c>
      <c r="F530" s="90" t="s">
        <v>11</v>
      </c>
      <c r="G530" s="90" t="s">
        <v>4</v>
      </c>
      <c r="H530" s="90" t="s">
        <v>15</v>
      </c>
      <c r="I530" s="90" t="s">
        <v>16</v>
      </c>
      <c r="J530" s="90" t="s">
        <v>56</v>
      </c>
      <c r="K530" s="90" t="s">
        <v>12</v>
      </c>
      <c r="L530" s="90" t="s">
        <v>13</v>
      </c>
      <c r="M530" s="90" t="s">
        <v>101</v>
      </c>
      <c r="N530" s="90" t="s">
        <v>100</v>
      </c>
      <c r="O530" s="90" t="s">
        <v>102</v>
      </c>
      <c r="P530" s="90" t="s">
        <v>5</v>
      </c>
    </row>
    <row r="531" spans="1:16" ht="36.75" customHeight="1" thickTop="1" thickBot="1" x14ac:dyDescent="0.35">
      <c r="A531" s="115" t="str">
        <f t="shared" ref="A531:A533" si="60">A530</f>
        <v>صباغة</v>
      </c>
      <c r="B531" s="164" t="s">
        <v>211</v>
      </c>
      <c r="C531" s="166" t="s">
        <v>212</v>
      </c>
      <c r="D531" s="168" t="s">
        <v>7</v>
      </c>
      <c r="E531" s="115" t="s">
        <v>217</v>
      </c>
      <c r="F531" s="114" t="s">
        <v>218</v>
      </c>
      <c r="G531" s="115">
        <v>300</v>
      </c>
      <c r="H531" s="114" t="s">
        <v>219</v>
      </c>
      <c r="I531" s="114" t="s">
        <v>220</v>
      </c>
      <c r="J531" s="154">
        <f>(K532-(K532*I534))-L534</f>
        <v>437</v>
      </c>
      <c r="K531" s="129">
        <f>318.5</f>
        <v>318.5</v>
      </c>
      <c r="L531" s="116"/>
      <c r="M531" s="116"/>
      <c r="N531" s="129">
        <f t="shared" si="57"/>
        <v>0</v>
      </c>
      <c r="O531" s="118">
        <f>(G531-(G531*I534))-L531</f>
        <v>300</v>
      </c>
      <c r="P531" s="175" t="s">
        <v>57</v>
      </c>
    </row>
    <row r="532" spans="1:16" ht="36.75" customHeight="1" thickTop="1" thickBot="1" x14ac:dyDescent="0.35">
      <c r="A532" s="115" t="str">
        <f t="shared" si="60"/>
        <v>صباغة</v>
      </c>
      <c r="B532" s="165"/>
      <c r="C532" s="167"/>
      <c r="D532" s="169"/>
      <c r="E532" s="115" t="s">
        <v>51</v>
      </c>
      <c r="F532" s="114" t="s">
        <v>208</v>
      </c>
      <c r="G532" s="115">
        <v>300</v>
      </c>
      <c r="H532" s="114" t="s">
        <v>219</v>
      </c>
      <c r="I532" s="114" t="s">
        <v>220</v>
      </c>
      <c r="J532" s="155"/>
      <c r="K532" s="177">
        <f>437</f>
        <v>437</v>
      </c>
      <c r="L532" s="116"/>
      <c r="M532" s="116"/>
      <c r="N532" s="129">
        <f t="shared" si="57"/>
        <v>0</v>
      </c>
      <c r="O532" s="118">
        <f>(G532-(G532*I534))-L532</f>
        <v>300</v>
      </c>
      <c r="P532" s="175"/>
    </row>
    <row r="533" spans="1:16" ht="36.75" customHeight="1" thickTop="1" thickBot="1" x14ac:dyDescent="0.35">
      <c r="A533" s="115" t="str">
        <f t="shared" si="60"/>
        <v>صباغة</v>
      </c>
      <c r="B533" s="165"/>
      <c r="C533" s="167"/>
      <c r="D533" s="169"/>
      <c r="E533" s="115" t="s">
        <v>51</v>
      </c>
      <c r="F533" s="114" t="s">
        <v>134</v>
      </c>
      <c r="G533" s="115">
        <v>140</v>
      </c>
      <c r="H533" s="114" t="s">
        <v>219</v>
      </c>
      <c r="I533" s="114" t="s">
        <v>220</v>
      </c>
      <c r="J533" s="155"/>
      <c r="K533" s="178"/>
      <c r="L533" s="116"/>
      <c r="M533" s="116"/>
      <c r="N533" s="129">
        <f t="shared" si="57"/>
        <v>0</v>
      </c>
      <c r="O533" s="118">
        <f>(G533-(G533*I534))-L533</f>
        <v>140</v>
      </c>
      <c r="P533" s="175"/>
    </row>
    <row r="534" spans="1:16" ht="36.75" customHeight="1" thickTop="1" thickBot="1" x14ac:dyDescent="0.35">
      <c r="A534" s="115" t="str">
        <f>A533</f>
        <v>صباغة</v>
      </c>
      <c r="B534" s="161" t="s">
        <v>29</v>
      </c>
      <c r="C534" s="162"/>
      <c r="D534" s="162"/>
      <c r="E534" s="176"/>
      <c r="F534" s="163"/>
      <c r="G534" s="114">
        <f>SUM(G531:G533)</f>
        <v>740</v>
      </c>
      <c r="H534" s="2" t="s">
        <v>30</v>
      </c>
      <c r="I534" s="3">
        <v>0</v>
      </c>
      <c r="J534" s="117"/>
      <c r="K534" s="116"/>
      <c r="L534" s="116">
        <f>SUM(L531:L533)</f>
        <v>0</v>
      </c>
      <c r="M534" s="116"/>
      <c r="N534" s="129">
        <f t="shared" si="57"/>
        <v>0</v>
      </c>
      <c r="O534" s="118">
        <f>SUM(O531:O533)</f>
        <v>740</v>
      </c>
      <c r="P534" s="175"/>
    </row>
    <row r="535" spans="1:16" ht="36.75" customHeight="1" thickTop="1" thickBot="1" x14ac:dyDescent="0.35">
      <c r="A535" s="90" t="s">
        <v>32</v>
      </c>
      <c r="B535" s="90" t="s">
        <v>0</v>
      </c>
      <c r="C535" s="90" t="s">
        <v>1</v>
      </c>
      <c r="D535" s="91" t="s">
        <v>2</v>
      </c>
      <c r="E535" s="90" t="s">
        <v>3</v>
      </c>
      <c r="F535" s="90" t="s">
        <v>11</v>
      </c>
      <c r="G535" s="90" t="s">
        <v>4</v>
      </c>
      <c r="H535" s="90" t="s">
        <v>15</v>
      </c>
      <c r="I535" s="90" t="s">
        <v>16</v>
      </c>
      <c r="J535" s="90" t="s">
        <v>56</v>
      </c>
      <c r="K535" s="90" t="s">
        <v>12</v>
      </c>
      <c r="L535" s="90" t="s">
        <v>13</v>
      </c>
      <c r="M535" s="90" t="s">
        <v>101</v>
      </c>
      <c r="N535" s="90" t="s">
        <v>100</v>
      </c>
      <c r="O535" s="90" t="s">
        <v>102</v>
      </c>
      <c r="P535" s="90" t="s">
        <v>5</v>
      </c>
    </row>
    <row r="536" spans="1:16" ht="36.75" customHeight="1" thickTop="1" thickBot="1" x14ac:dyDescent="0.35">
      <c r="A536" s="115" t="str">
        <f t="shared" ref="A536:A538" si="61">A535</f>
        <v>صباغة</v>
      </c>
      <c r="B536" s="164" t="s">
        <v>211</v>
      </c>
      <c r="C536" s="166" t="s">
        <v>212</v>
      </c>
      <c r="D536" s="168" t="s">
        <v>7</v>
      </c>
      <c r="E536" s="115" t="s">
        <v>222</v>
      </c>
      <c r="F536" s="114" t="s">
        <v>218</v>
      </c>
      <c r="G536" s="115">
        <v>140</v>
      </c>
      <c r="H536" s="114" t="s">
        <v>219</v>
      </c>
      <c r="I536" s="114" t="s">
        <v>220</v>
      </c>
      <c r="J536" s="154">
        <f>(K537-(K537*I539))-L539</f>
        <v>117</v>
      </c>
      <c r="K536" s="128"/>
      <c r="L536" s="116"/>
      <c r="M536" s="116"/>
      <c r="N536" s="129">
        <f t="shared" si="57"/>
        <v>0</v>
      </c>
      <c r="O536" s="118">
        <f>(G536-(G536*I539))-L536</f>
        <v>140</v>
      </c>
      <c r="P536" s="175" t="s">
        <v>57</v>
      </c>
    </row>
    <row r="537" spans="1:16" ht="36.75" customHeight="1" thickTop="1" thickBot="1" x14ac:dyDescent="0.35">
      <c r="A537" s="115" t="str">
        <f t="shared" si="61"/>
        <v>صباغة</v>
      </c>
      <c r="B537" s="165"/>
      <c r="C537" s="167"/>
      <c r="D537" s="169"/>
      <c r="E537" s="115" t="s">
        <v>221</v>
      </c>
      <c r="F537" s="114" t="s">
        <v>50</v>
      </c>
      <c r="G537" s="115">
        <v>300</v>
      </c>
      <c r="H537" s="114" t="s">
        <v>219</v>
      </c>
      <c r="I537" s="114" t="s">
        <v>220</v>
      </c>
      <c r="J537" s="155"/>
      <c r="K537" s="127">
        <f>117</f>
        <v>117</v>
      </c>
      <c r="L537" s="116"/>
      <c r="M537" s="116"/>
      <c r="N537" s="129">
        <f t="shared" si="57"/>
        <v>0</v>
      </c>
      <c r="O537" s="118">
        <f>(G537-(G537*I539))-L537</f>
        <v>300</v>
      </c>
      <c r="P537" s="175"/>
    </row>
    <row r="538" spans="1:16" ht="36.75" customHeight="1" thickTop="1" thickBot="1" x14ac:dyDescent="0.35">
      <c r="A538" s="115" t="str">
        <f t="shared" si="61"/>
        <v>صباغة</v>
      </c>
      <c r="B538" s="165"/>
      <c r="C538" s="167"/>
      <c r="D538" s="169"/>
      <c r="E538" s="115" t="s">
        <v>223</v>
      </c>
      <c r="F538" s="114" t="s">
        <v>50</v>
      </c>
      <c r="G538" s="115">
        <v>50</v>
      </c>
      <c r="H538" s="114" t="s">
        <v>224</v>
      </c>
      <c r="I538" s="114" t="s">
        <v>225</v>
      </c>
      <c r="J538" s="155"/>
      <c r="K538" s="127"/>
      <c r="L538" s="116"/>
      <c r="M538" s="116"/>
      <c r="N538" s="129">
        <f t="shared" si="57"/>
        <v>0</v>
      </c>
      <c r="O538" s="118">
        <f>(G538-(G538*I539))-L538</f>
        <v>50</v>
      </c>
      <c r="P538" s="175"/>
    </row>
    <row r="539" spans="1:16" ht="36.75" customHeight="1" thickTop="1" thickBot="1" x14ac:dyDescent="0.35">
      <c r="A539" s="115" t="str">
        <f>A538</f>
        <v>صباغة</v>
      </c>
      <c r="B539" s="161" t="s">
        <v>29</v>
      </c>
      <c r="C539" s="162"/>
      <c r="D539" s="162"/>
      <c r="E539" s="176"/>
      <c r="F539" s="163"/>
      <c r="G539" s="114">
        <f>SUM(G536:G538)</f>
        <v>490</v>
      </c>
      <c r="H539" s="2" t="s">
        <v>30</v>
      </c>
      <c r="I539" s="3">
        <v>0</v>
      </c>
      <c r="J539" s="117"/>
      <c r="K539" s="129"/>
      <c r="L539" s="116">
        <f>SUM(L536:L538)</f>
        <v>0</v>
      </c>
      <c r="M539" s="116"/>
      <c r="N539" s="129">
        <f t="shared" si="57"/>
        <v>0</v>
      </c>
      <c r="O539" s="118">
        <f>SUM(O536:O538)</f>
        <v>490</v>
      </c>
      <c r="P539" s="175"/>
    </row>
    <row r="540" spans="1:16" ht="36.75" customHeight="1" thickTop="1" thickBot="1" x14ac:dyDescent="0.35">
      <c r="A540" s="90" t="s">
        <v>32</v>
      </c>
      <c r="B540" s="90" t="s">
        <v>0</v>
      </c>
      <c r="C540" s="90" t="s">
        <v>1</v>
      </c>
      <c r="D540" s="91" t="s">
        <v>2</v>
      </c>
      <c r="E540" s="90" t="s">
        <v>3</v>
      </c>
      <c r="F540" s="90" t="s">
        <v>11</v>
      </c>
      <c r="G540" s="90" t="s">
        <v>4</v>
      </c>
      <c r="H540" s="90" t="s">
        <v>15</v>
      </c>
      <c r="I540" s="90" t="s">
        <v>16</v>
      </c>
      <c r="J540" s="90" t="s">
        <v>56</v>
      </c>
      <c r="K540" s="90" t="s">
        <v>12</v>
      </c>
      <c r="L540" s="90" t="s">
        <v>13</v>
      </c>
      <c r="M540" s="90" t="s">
        <v>101</v>
      </c>
      <c r="N540" s="90" t="s">
        <v>100</v>
      </c>
      <c r="O540" s="90" t="s">
        <v>102</v>
      </c>
      <c r="P540" s="90" t="s">
        <v>5</v>
      </c>
    </row>
    <row r="541" spans="1:16" ht="36.75" customHeight="1" thickTop="1" thickBot="1" x14ac:dyDescent="0.35">
      <c r="A541" s="120" t="str">
        <f t="shared" ref="A541:A544" si="62">A540</f>
        <v>صباغة</v>
      </c>
      <c r="B541" s="164" t="s">
        <v>211</v>
      </c>
      <c r="C541" s="166" t="s">
        <v>228</v>
      </c>
      <c r="D541" s="168" t="s">
        <v>7</v>
      </c>
      <c r="E541" s="120" t="s">
        <v>227</v>
      </c>
      <c r="F541" s="119"/>
      <c r="G541" s="120"/>
      <c r="H541" s="119" t="s">
        <v>219</v>
      </c>
      <c r="I541" s="119" t="s">
        <v>220</v>
      </c>
      <c r="J541" s="154">
        <f>(K541-(K541*I545))-L545</f>
        <v>100.49999999999999</v>
      </c>
      <c r="K541" s="123">
        <f>135.7+7.6</f>
        <v>143.29999999999998</v>
      </c>
      <c r="L541" s="121"/>
      <c r="M541" s="121"/>
      <c r="N541" s="129">
        <f t="shared" si="57"/>
        <v>0</v>
      </c>
      <c r="O541" s="122">
        <f>(G541-(G541*I545))-L541</f>
        <v>0</v>
      </c>
      <c r="P541" s="175" t="s">
        <v>57</v>
      </c>
    </row>
    <row r="542" spans="1:16" ht="36.75" customHeight="1" thickTop="1" thickBot="1" x14ac:dyDescent="0.35">
      <c r="A542" s="130" t="str">
        <f t="shared" si="62"/>
        <v>صباغة</v>
      </c>
      <c r="B542" s="165"/>
      <c r="C542" s="167"/>
      <c r="D542" s="169"/>
      <c r="E542" s="130" t="s">
        <v>231</v>
      </c>
      <c r="F542" s="126"/>
      <c r="G542" s="130"/>
      <c r="H542" s="126" t="s">
        <v>219</v>
      </c>
      <c r="I542" s="126" t="s">
        <v>220</v>
      </c>
      <c r="J542" s="155"/>
      <c r="K542" s="127">
        <f>133.8+32.4+68.4</f>
        <v>234.60000000000002</v>
      </c>
      <c r="L542" s="129"/>
      <c r="M542" s="129"/>
      <c r="N542" s="129">
        <f t="shared" si="57"/>
        <v>0</v>
      </c>
      <c r="O542" s="131"/>
      <c r="P542" s="175"/>
    </row>
    <row r="543" spans="1:16" ht="36.75" customHeight="1" thickTop="1" thickBot="1" x14ac:dyDescent="0.35">
      <c r="A543" s="120" t="str">
        <f>A541</f>
        <v>صباغة</v>
      </c>
      <c r="B543" s="165"/>
      <c r="C543" s="167"/>
      <c r="D543" s="169"/>
      <c r="E543" s="120" t="s">
        <v>229</v>
      </c>
      <c r="F543" s="119" t="s">
        <v>17</v>
      </c>
      <c r="G543" s="120"/>
      <c r="H543" s="119" t="s">
        <v>219</v>
      </c>
      <c r="I543" s="119" t="s">
        <v>220</v>
      </c>
      <c r="J543" s="155"/>
      <c r="K543" s="123">
        <f>23.9</f>
        <v>23.9</v>
      </c>
      <c r="L543" s="121">
        <f>22.3+20.5</f>
        <v>42.8</v>
      </c>
      <c r="M543" s="121"/>
      <c r="N543" s="129">
        <f t="shared" si="57"/>
        <v>42.8</v>
      </c>
      <c r="O543" s="122">
        <f>(G543-(G543*I545))-L543</f>
        <v>-42.8</v>
      </c>
      <c r="P543" s="175"/>
    </row>
    <row r="544" spans="1:16" ht="36.75" customHeight="1" thickTop="1" thickBot="1" x14ac:dyDescent="0.35">
      <c r="A544" s="120" t="str">
        <f t="shared" si="62"/>
        <v>صباغة</v>
      </c>
      <c r="B544" s="165"/>
      <c r="C544" s="167"/>
      <c r="D544" s="169"/>
      <c r="E544" s="120" t="s">
        <v>230</v>
      </c>
      <c r="F544" s="119"/>
      <c r="G544" s="120"/>
      <c r="H544" s="119" t="s">
        <v>224</v>
      </c>
      <c r="I544" s="119" t="s">
        <v>225</v>
      </c>
      <c r="J544" s="155"/>
      <c r="K544" s="123">
        <f>281.5</f>
        <v>281.5</v>
      </c>
      <c r="L544" s="121"/>
      <c r="M544" s="121"/>
      <c r="N544" s="129">
        <f t="shared" si="57"/>
        <v>0</v>
      </c>
      <c r="O544" s="122">
        <f>(G544-(G544*I545))-L544</f>
        <v>0</v>
      </c>
      <c r="P544" s="175"/>
    </row>
    <row r="545" spans="1:17" ht="36.75" customHeight="1" thickTop="1" thickBot="1" x14ac:dyDescent="0.35">
      <c r="A545" s="120" t="str">
        <f>A544</f>
        <v>صباغة</v>
      </c>
      <c r="B545" s="161" t="s">
        <v>29</v>
      </c>
      <c r="C545" s="162"/>
      <c r="D545" s="162"/>
      <c r="E545" s="176"/>
      <c r="F545" s="163"/>
      <c r="G545" s="119">
        <f>SUM(G541:G544)</f>
        <v>0</v>
      </c>
      <c r="H545" s="2" t="s">
        <v>30</v>
      </c>
      <c r="I545" s="3">
        <v>0</v>
      </c>
      <c r="J545" s="173"/>
      <c r="K545" s="124"/>
      <c r="L545" s="121">
        <f>SUM(L541:L544)</f>
        <v>42.8</v>
      </c>
      <c r="M545" s="121"/>
      <c r="N545" s="129">
        <f t="shared" si="57"/>
        <v>42.8</v>
      </c>
      <c r="O545" s="122">
        <f>SUM(O541:O544)</f>
        <v>-42.8</v>
      </c>
      <c r="P545" s="175"/>
    </row>
    <row r="546" spans="1:17" ht="36.75" customHeight="1" thickTop="1" thickBot="1" x14ac:dyDescent="0.35">
      <c r="A546" s="90" t="s">
        <v>32</v>
      </c>
      <c r="B546" s="88" t="s">
        <v>0</v>
      </c>
      <c r="C546" s="88" t="s">
        <v>1</v>
      </c>
      <c r="D546" s="89" t="s">
        <v>2</v>
      </c>
      <c r="E546" s="88" t="s">
        <v>3</v>
      </c>
      <c r="F546" s="88" t="s">
        <v>11</v>
      </c>
      <c r="G546" s="88" t="s">
        <v>4</v>
      </c>
      <c r="H546" s="88" t="s">
        <v>15</v>
      </c>
      <c r="I546" s="88" t="s">
        <v>16</v>
      </c>
      <c r="J546" s="88" t="s">
        <v>56</v>
      </c>
      <c r="K546" s="88" t="s">
        <v>12</v>
      </c>
      <c r="L546" s="88" t="s">
        <v>13</v>
      </c>
      <c r="M546" s="88" t="s">
        <v>101</v>
      </c>
      <c r="N546" s="88" t="s">
        <v>100</v>
      </c>
      <c r="O546" s="88" t="s">
        <v>102</v>
      </c>
      <c r="P546" s="88" t="s">
        <v>5</v>
      </c>
      <c r="Q546" s="142"/>
    </row>
    <row r="547" spans="1:17" ht="36.75" customHeight="1" thickTop="1" thickBot="1" x14ac:dyDescent="0.35">
      <c r="A547" s="135" t="str">
        <f t="shared" ref="A547:A551" si="63">A546</f>
        <v>صباغة</v>
      </c>
      <c r="B547" s="164" t="s">
        <v>236</v>
      </c>
      <c r="C547" s="166" t="s">
        <v>232</v>
      </c>
      <c r="D547" s="168" t="s">
        <v>7</v>
      </c>
      <c r="E547" s="166" t="s">
        <v>234</v>
      </c>
      <c r="F547" s="132" t="s">
        <v>237</v>
      </c>
      <c r="G547" s="135">
        <v>1000</v>
      </c>
      <c r="H547" s="132" t="s">
        <v>43</v>
      </c>
      <c r="I547" s="132" t="s">
        <v>191</v>
      </c>
      <c r="J547" s="154"/>
      <c r="K547" s="156">
        <f>916+296.5+1289.1</f>
        <v>2501.6</v>
      </c>
      <c r="L547" s="134"/>
      <c r="M547" s="134"/>
      <c r="N547" s="134">
        <f>L547-M547</f>
        <v>0</v>
      </c>
      <c r="O547" s="136">
        <f>(G547-(G547*I552))-L547</f>
        <v>1000</v>
      </c>
      <c r="P547" s="158" t="s">
        <v>235</v>
      </c>
      <c r="Q547" s="142"/>
    </row>
    <row r="548" spans="1:17" ht="36.75" customHeight="1" thickTop="1" thickBot="1" x14ac:dyDescent="0.35">
      <c r="A548" s="135" t="str">
        <f>A547</f>
        <v>صباغة</v>
      </c>
      <c r="B548" s="165"/>
      <c r="C548" s="167"/>
      <c r="D548" s="169"/>
      <c r="E548" s="167"/>
      <c r="F548" s="132" t="s">
        <v>120</v>
      </c>
      <c r="G548" s="135">
        <v>1000</v>
      </c>
      <c r="H548" s="132" t="s">
        <v>94</v>
      </c>
      <c r="I548" s="132" t="s">
        <v>191</v>
      </c>
      <c r="J548" s="155"/>
      <c r="K548" s="157"/>
      <c r="L548" s="134"/>
      <c r="M548" s="134"/>
      <c r="N548" s="134">
        <f t="shared" ref="N548:N551" si="64">L548-M548</f>
        <v>0</v>
      </c>
      <c r="O548" s="136">
        <f>(G548-(G548*I552))-L548</f>
        <v>1000</v>
      </c>
      <c r="P548" s="159"/>
      <c r="Q548" s="142"/>
    </row>
    <row r="549" spans="1:17" ht="36.75" customHeight="1" thickTop="1" thickBot="1" x14ac:dyDescent="0.35">
      <c r="A549" s="135" t="str">
        <f t="shared" si="63"/>
        <v>صباغة</v>
      </c>
      <c r="B549" s="165"/>
      <c r="C549" s="167"/>
      <c r="D549" s="169"/>
      <c r="E549" s="167"/>
      <c r="F549" s="132" t="s">
        <v>238</v>
      </c>
      <c r="G549" s="135">
        <v>1000</v>
      </c>
      <c r="H549" s="132" t="s">
        <v>94</v>
      </c>
      <c r="I549" s="132" t="s">
        <v>191</v>
      </c>
      <c r="J549" s="155"/>
      <c r="K549" s="157"/>
      <c r="L549" s="134"/>
      <c r="M549" s="134"/>
      <c r="N549" s="134">
        <f t="shared" si="64"/>
        <v>0</v>
      </c>
      <c r="O549" s="136">
        <f>(G549-(G549*I552))-L549</f>
        <v>1000</v>
      </c>
      <c r="P549" s="159"/>
      <c r="Q549" s="142"/>
    </row>
    <row r="550" spans="1:17" ht="36.75" customHeight="1" thickTop="1" thickBot="1" x14ac:dyDescent="0.35">
      <c r="A550" s="135" t="str">
        <f t="shared" si="63"/>
        <v>صباغة</v>
      </c>
      <c r="B550" s="165"/>
      <c r="C550" s="167"/>
      <c r="D550" s="169"/>
      <c r="E550" s="167"/>
      <c r="F550" s="132" t="s">
        <v>239</v>
      </c>
      <c r="G550" s="135">
        <v>1000</v>
      </c>
      <c r="H550" s="132" t="s">
        <v>94</v>
      </c>
      <c r="I550" s="132" t="s">
        <v>191</v>
      </c>
      <c r="J550" s="155"/>
      <c r="K550" s="157"/>
      <c r="L550" s="134"/>
      <c r="M550" s="134"/>
      <c r="N550" s="134">
        <f t="shared" si="64"/>
        <v>0</v>
      </c>
      <c r="O550" s="136">
        <f>(G550-(G550*I552))-L550</f>
        <v>1000</v>
      </c>
      <c r="P550" s="159"/>
      <c r="Q550" s="142"/>
    </row>
    <row r="551" spans="1:17" ht="36.75" customHeight="1" thickTop="1" thickBot="1" x14ac:dyDescent="0.35">
      <c r="A551" s="135" t="str">
        <f t="shared" si="63"/>
        <v>صباغة</v>
      </c>
      <c r="B551" s="165"/>
      <c r="C551" s="167"/>
      <c r="D551" s="169"/>
      <c r="E551" s="167"/>
      <c r="F551" s="132" t="s">
        <v>28</v>
      </c>
      <c r="G551" s="135">
        <v>1000</v>
      </c>
      <c r="H551" s="132" t="s">
        <v>94</v>
      </c>
      <c r="I551" s="132" t="s">
        <v>191</v>
      </c>
      <c r="J551" s="155"/>
      <c r="K551" s="157"/>
      <c r="L551" s="134"/>
      <c r="M551" s="134"/>
      <c r="N551" s="134">
        <f t="shared" si="64"/>
        <v>0</v>
      </c>
      <c r="O551" s="136">
        <f>(G551-(G551*I552))-L551</f>
        <v>1000</v>
      </c>
      <c r="P551" s="159"/>
      <c r="Q551" s="142"/>
    </row>
    <row r="552" spans="1:17" ht="36.75" customHeight="1" thickTop="1" thickBot="1" x14ac:dyDescent="0.35">
      <c r="A552" s="135" t="e">
        <f>#REF!</f>
        <v>#REF!</v>
      </c>
      <c r="B552" s="161" t="s">
        <v>29</v>
      </c>
      <c r="C552" s="162"/>
      <c r="D552" s="162"/>
      <c r="E552" s="162"/>
      <c r="F552" s="163"/>
      <c r="G552" s="132">
        <v>5000</v>
      </c>
      <c r="H552" s="2" t="s">
        <v>30</v>
      </c>
      <c r="I552" s="3">
        <v>0</v>
      </c>
      <c r="J552" s="133"/>
      <c r="K552" s="134"/>
      <c r="L552" s="134">
        <f>SUM(L547:L551)</f>
        <v>0</v>
      </c>
      <c r="M552" s="134"/>
      <c r="N552" s="134">
        <f>L552-M552</f>
        <v>0</v>
      </c>
      <c r="O552" s="136">
        <f>(G552-(G552*I552))-L552</f>
        <v>5000</v>
      </c>
      <c r="P552" s="160"/>
      <c r="Q552" s="142"/>
    </row>
    <row r="553" spans="1:17" ht="36.75" customHeight="1" thickTop="1" thickBot="1" x14ac:dyDescent="0.35">
      <c r="A553" s="90" t="s">
        <v>32</v>
      </c>
      <c r="B553" s="88" t="s">
        <v>0</v>
      </c>
      <c r="C553" s="88" t="s">
        <v>1</v>
      </c>
      <c r="D553" s="89" t="s">
        <v>2</v>
      </c>
      <c r="E553" s="88" t="s">
        <v>3</v>
      </c>
      <c r="F553" s="88" t="s">
        <v>11</v>
      </c>
      <c r="G553" s="88" t="s">
        <v>4</v>
      </c>
      <c r="H553" s="88" t="s">
        <v>15</v>
      </c>
      <c r="I553" s="88" t="s">
        <v>16</v>
      </c>
      <c r="J553" s="88" t="s">
        <v>56</v>
      </c>
      <c r="K553" s="88" t="s">
        <v>12</v>
      </c>
      <c r="L553" s="88" t="s">
        <v>13</v>
      </c>
      <c r="M553" s="88" t="s">
        <v>101</v>
      </c>
      <c r="N553" s="88" t="s">
        <v>100</v>
      </c>
      <c r="O553" s="88" t="s">
        <v>102</v>
      </c>
      <c r="P553" s="88" t="s">
        <v>5</v>
      </c>
      <c r="Q553" s="142"/>
    </row>
    <row r="554" spans="1:17" ht="36.75" customHeight="1" thickTop="1" thickBot="1" x14ac:dyDescent="0.35">
      <c r="A554" s="135" t="str">
        <f t="shared" ref="A554:A559" si="65">A553</f>
        <v>صباغة</v>
      </c>
      <c r="B554" s="164" t="s">
        <v>236</v>
      </c>
      <c r="C554" s="166" t="s">
        <v>233</v>
      </c>
      <c r="D554" s="168" t="s">
        <v>7</v>
      </c>
      <c r="E554" s="166" t="s">
        <v>240</v>
      </c>
      <c r="F554" s="132" t="s">
        <v>206</v>
      </c>
      <c r="G554" s="135">
        <v>160</v>
      </c>
      <c r="H554" s="132" t="s">
        <v>242</v>
      </c>
      <c r="I554" s="132" t="s">
        <v>191</v>
      </c>
      <c r="J554" s="154"/>
      <c r="K554" s="156">
        <f>501.6+511.6</f>
        <v>1013.2</v>
      </c>
      <c r="L554" s="134">
        <f>123.5+3.25</f>
        <v>126.75</v>
      </c>
      <c r="M554" s="134">
        <f>123.5+3.25</f>
        <v>126.75</v>
      </c>
      <c r="N554" s="134">
        <f>L554-M554</f>
        <v>0</v>
      </c>
      <c r="O554" s="136">
        <f>(G554-(G554*I560))-L554</f>
        <v>33.25</v>
      </c>
      <c r="P554" s="158" t="s">
        <v>57</v>
      </c>
      <c r="Q554" s="142"/>
    </row>
    <row r="555" spans="1:17" ht="36.75" customHeight="1" thickTop="1" thickBot="1" x14ac:dyDescent="0.35">
      <c r="A555" s="135" t="str">
        <f>A554</f>
        <v>صباغة</v>
      </c>
      <c r="B555" s="165"/>
      <c r="C555" s="167"/>
      <c r="D555" s="169"/>
      <c r="E555" s="167"/>
      <c r="F555" s="132" t="s">
        <v>118</v>
      </c>
      <c r="G555" s="135">
        <v>160</v>
      </c>
      <c r="H555" s="132" t="s">
        <v>242</v>
      </c>
      <c r="I555" s="132" t="s">
        <v>191</v>
      </c>
      <c r="J555" s="155"/>
      <c r="K555" s="157"/>
      <c r="L555" s="134">
        <f>121.7+4</f>
        <v>125.7</v>
      </c>
      <c r="M555" s="134">
        <f>121.7+6.8</f>
        <v>128.5</v>
      </c>
      <c r="N555" s="134">
        <f t="shared" ref="N555:N559" si="66">L555-M555</f>
        <v>-2.7999999999999972</v>
      </c>
      <c r="O555" s="136">
        <f>(G555-(G555*I560))-L555</f>
        <v>34.299999999999997</v>
      </c>
      <c r="P555" s="159"/>
      <c r="Q555" s="142"/>
    </row>
    <row r="556" spans="1:17" ht="36.75" customHeight="1" thickTop="1" thickBot="1" x14ac:dyDescent="0.35">
      <c r="A556" s="135" t="str">
        <f t="shared" si="65"/>
        <v>صباغة</v>
      </c>
      <c r="B556" s="165"/>
      <c r="C556" s="167"/>
      <c r="D556" s="169"/>
      <c r="E556" s="167"/>
      <c r="F556" s="132" t="s">
        <v>21</v>
      </c>
      <c r="G556" s="135">
        <v>160</v>
      </c>
      <c r="H556" s="132" t="s">
        <v>242</v>
      </c>
      <c r="I556" s="132" t="s">
        <v>191</v>
      </c>
      <c r="J556" s="155"/>
      <c r="K556" s="157"/>
      <c r="L556" s="134">
        <v>115.6</v>
      </c>
      <c r="M556" s="134">
        <f>115.6+4.4</f>
        <v>120</v>
      </c>
      <c r="N556" s="134">
        <f t="shared" si="66"/>
        <v>-4.4000000000000057</v>
      </c>
      <c r="O556" s="136">
        <f>(G556-(G556*I560))-L556</f>
        <v>44.400000000000006</v>
      </c>
      <c r="P556" s="159"/>
      <c r="Q556" s="142"/>
    </row>
    <row r="557" spans="1:17" ht="36.75" customHeight="1" thickTop="1" thickBot="1" x14ac:dyDescent="0.35">
      <c r="A557" s="135" t="str">
        <f t="shared" si="65"/>
        <v>صباغة</v>
      </c>
      <c r="B557" s="165"/>
      <c r="C557" s="167"/>
      <c r="D557" s="169"/>
      <c r="E557" s="167"/>
      <c r="F557" s="132" t="s">
        <v>17</v>
      </c>
      <c r="G557" s="135">
        <v>232</v>
      </c>
      <c r="H557" s="132" t="s">
        <v>242</v>
      </c>
      <c r="I557" s="132" t="s">
        <v>191</v>
      </c>
      <c r="J557" s="155"/>
      <c r="K557" s="157"/>
      <c r="L557" s="134">
        <f>122.4+8.5</f>
        <v>130.9</v>
      </c>
      <c r="M557" s="134">
        <f>122.4+8.5</f>
        <v>130.9</v>
      </c>
      <c r="N557" s="134">
        <f t="shared" si="66"/>
        <v>0</v>
      </c>
      <c r="O557" s="136">
        <f>(G557-(G557*I560))-L557</f>
        <v>101.1</v>
      </c>
      <c r="P557" s="159"/>
      <c r="Q557" s="142"/>
    </row>
    <row r="558" spans="1:17" ht="36.75" customHeight="1" thickTop="1" thickBot="1" x14ac:dyDescent="0.35">
      <c r="A558" s="135" t="str">
        <f t="shared" si="65"/>
        <v>صباغة</v>
      </c>
      <c r="B558" s="165"/>
      <c r="C558" s="167"/>
      <c r="D558" s="169"/>
      <c r="E558" s="167"/>
      <c r="F558" s="132" t="s">
        <v>20</v>
      </c>
      <c r="G558" s="135">
        <v>160</v>
      </c>
      <c r="H558" s="132" t="s">
        <v>242</v>
      </c>
      <c r="I558" s="132" t="s">
        <v>191</v>
      </c>
      <c r="J558" s="155"/>
      <c r="K558" s="157"/>
      <c r="L558" s="134">
        <f>120.8</f>
        <v>120.8</v>
      </c>
      <c r="M558" s="134">
        <f>120.8+8.2</f>
        <v>129</v>
      </c>
      <c r="N558" s="134">
        <f t="shared" si="66"/>
        <v>-8.2000000000000028</v>
      </c>
      <c r="O558" s="136">
        <f>(G558-(G558*I560))-L558</f>
        <v>39.200000000000003</v>
      </c>
      <c r="P558" s="159"/>
      <c r="Q558" s="142"/>
    </row>
    <row r="559" spans="1:17" ht="36.75" customHeight="1" thickTop="1" thickBot="1" x14ac:dyDescent="0.35">
      <c r="A559" s="135" t="str">
        <f t="shared" si="65"/>
        <v>صباغة</v>
      </c>
      <c r="B559" s="165"/>
      <c r="C559" s="167"/>
      <c r="D559" s="169"/>
      <c r="E559" s="167"/>
      <c r="F559" s="132" t="s">
        <v>241</v>
      </c>
      <c r="G559" s="135">
        <v>160</v>
      </c>
      <c r="H559" s="132" t="s">
        <v>242</v>
      </c>
      <c r="I559" s="132" t="s">
        <v>191</v>
      </c>
      <c r="J559" s="155"/>
      <c r="K559" s="157"/>
      <c r="L559" s="134">
        <f>119.8+5.8</f>
        <v>125.6</v>
      </c>
      <c r="M559" s="134">
        <f>119.8+5.8</f>
        <v>125.6</v>
      </c>
      <c r="N559" s="134">
        <f t="shared" si="66"/>
        <v>0</v>
      </c>
      <c r="O559" s="136">
        <f>(G559-(G559*I560))-L559</f>
        <v>34.400000000000006</v>
      </c>
      <c r="P559" s="159"/>
      <c r="Q559" s="142"/>
    </row>
    <row r="560" spans="1:17" ht="36.75" customHeight="1" thickTop="1" thickBot="1" x14ac:dyDescent="0.35">
      <c r="A560" s="135" t="str">
        <f>A559</f>
        <v>صباغة</v>
      </c>
      <c r="B560" s="161" t="s">
        <v>29</v>
      </c>
      <c r="C560" s="162"/>
      <c r="D560" s="162"/>
      <c r="E560" s="162"/>
      <c r="F560" s="163"/>
      <c r="G560" s="132">
        <v>1032</v>
      </c>
      <c r="H560" s="2" t="s">
        <v>30</v>
      </c>
      <c r="I560" s="3">
        <v>0</v>
      </c>
      <c r="J560" s="133"/>
      <c r="K560" s="134"/>
      <c r="L560" s="134">
        <f>SUM(L554:L559)</f>
        <v>745.34999999999991</v>
      </c>
      <c r="M560" s="134"/>
      <c r="N560" s="134">
        <f>L560-M560</f>
        <v>745.34999999999991</v>
      </c>
      <c r="O560" s="136">
        <f>(G560-(G560*I560))-L560</f>
        <v>286.65000000000009</v>
      </c>
      <c r="P560" s="160"/>
      <c r="Q560" s="142"/>
    </row>
    <row r="561" spans="1:17" ht="36.75" customHeight="1" thickTop="1" thickBot="1" x14ac:dyDescent="0.35">
      <c r="A561" s="90" t="s">
        <v>32</v>
      </c>
      <c r="B561" s="88" t="s">
        <v>0</v>
      </c>
      <c r="C561" s="88" t="s">
        <v>1</v>
      </c>
      <c r="D561" s="89" t="s">
        <v>2</v>
      </c>
      <c r="E561" s="88" t="s">
        <v>3</v>
      </c>
      <c r="F561" s="88" t="s">
        <v>11</v>
      </c>
      <c r="G561" s="88" t="s">
        <v>4</v>
      </c>
      <c r="H561" s="88" t="s">
        <v>15</v>
      </c>
      <c r="I561" s="88" t="s">
        <v>16</v>
      </c>
      <c r="J561" s="88" t="s">
        <v>56</v>
      </c>
      <c r="K561" s="88" t="s">
        <v>12</v>
      </c>
      <c r="L561" s="88" t="s">
        <v>13</v>
      </c>
      <c r="M561" s="88" t="s">
        <v>101</v>
      </c>
      <c r="N561" s="88" t="s">
        <v>100</v>
      </c>
      <c r="O561" s="88" t="s">
        <v>102</v>
      </c>
      <c r="P561" s="88" t="s">
        <v>5</v>
      </c>
      <c r="Q561" s="142"/>
    </row>
    <row r="562" spans="1:17" ht="36.75" customHeight="1" thickTop="1" thickBot="1" x14ac:dyDescent="0.35">
      <c r="A562" s="139" t="str">
        <f t="shared" ref="A562:A567" si="67">A561</f>
        <v>صباغة</v>
      </c>
      <c r="B562" s="164" t="s">
        <v>236</v>
      </c>
      <c r="C562" s="166" t="s">
        <v>233</v>
      </c>
      <c r="D562" s="168" t="s">
        <v>7</v>
      </c>
      <c r="E562" s="166" t="s">
        <v>194</v>
      </c>
      <c r="F562" s="137" t="s">
        <v>69</v>
      </c>
      <c r="G562" s="139">
        <v>60</v>
      </c>
      <c r="H562" s="137" t="s">
        <v>243</v>
      </c>
      <c r="I562" s="137" t="s">
        <v>191</v>
      </c>
      <c r="J562" s="154"/>
      <c r="K562" s="156">
        <f>414.5</f>
        <v>414.5</v>
      </c>
      <c r="L562" s="138"/>
      <c r="M562" s="138"/>
      <c r="N562" s="138">
        <f>L562-M562</f>
        <v>0</v>
      </c>
      <c r="O562" s="141">
        <f>(G562-(G562*I568))-L562</f>
        <v>60</v>
      </c>
      <c r="P562" s="158" t="s">
        <v>57</v>
      </c>
      <c r="Q562" s="142"/>
    </row>
    <row r="563" spans="1:17" ht="36.75" customHeight="1" thickTop="1" thickBot="1" x14ac:dyDescent="0.35">
      <c r="A563" s="139" t="str">
        <f>A562</f>
        <v>صباغة</v>
      </c>
      <c r="B563" s="165"/>
      <c r="C563" s="167"/>
      <c r="D563" s="169"/>
      <c r="E563" s="167"/>
      <c r="F563" s="137" t="s">
        <v>118</v>
      </c>
      <c r="G563" s="139">
        <v>60</v>
      </c>
      <c r="H563" s="137" t="s">
        <v>243</v>
      </c>
      <c r="I563" s="137" t="s">
        <v>191</v>
      </c>
      <c r="J563" s="155"/>
      <c r="K563" s="157"/>
      <c r="L563" s="138">
        <f>84+2.8</f>
        <v>86.8</v>
      </c>
      <c r="M563" s="138">
        <f>84</f>
        <v>84</v>
      </c>
      <c r="N563" s="138">
        <f t="shared" ref="N563:N567" si="68">L563-M563</f>
        <v>2.7999999999999972</v>
      </c>
      <c r="O563" s="141">
        <f>(G563-(G563*I568))-L563</f>
        <v>-26.799999999999997</v>
      </c>
      <c r="P563" s="159"/>
      <c r="Q563" s="142"/>
    </row>
    <row r="564" spans="1:17" ht="36.75" customHeight="1" thickTop="1" thickBot="1" x14ac:dyDescent="0.35">
      <c r="A564" s="139" t="str">
        <f t="shared" si="67"/>
        <v>صباغة</v>
      </c>
      <c r="B564" s="165"/>
      <c r="C564" s="167"/>
      <c r="D564" s="169"/>
      <c r="E564" s="167"/>
      <c r="F564" s="137" t="s">
        <v>21</v>
      </c>
      <c r="G564" s="139">
        <v>60</v>
      </c>
      <c r="H564" s="137" t="s">
        <v>243</v>
      </c>
      <c r="I564" s="137" t="s">
        <v>191</v>
      </c>
      <c r="J564" s="155"/>
      <c r="K564" s="157"/>
      <c r="L564" s="138"/>
      <c r="M564" s="138"/>
      <c r="N564" s="138">
        <f t="shared" si="68"/>
        <v>0</v>
      </c>
      <c r="O564" s="141">
        <f>(G564-(G564*I568))-L564</f>
        <v>60</v>
      </c>
      <c r="P564" s="159"/>
      <c r="Q564" s="142"/>
    </row>
    <row r="565" spans="1:17" ht="36.75" customHeight="1" thickTop="1" thickBot="1" x14ac:dyDescent="0.35">
      <c r="A565" s="139" t="str">
        <f t="shared" si="67"/>
        <v>صباغة</v>
      </c>
      <c r="B565" s="165"/>
      <c r="C565" s="167"/>
      <c r="D565" s="169"/>
      <c r="E565" s="167"/>
      <c r="F565" s="137" t="s">
        <v>17</v>
      </c>
      <c r="G565" s="139">
        <v>128</v>
      </c>
      <c r="H565" s="137" t="s">
        <v>243</v>
      </c>
      <c r="I565" s="137" t="s">
        <v>191</v>
      </c>
      <c r="J565" s="155"/>
      <c r="K565" s="157"/>
      <c r="L565" s="138">
        <f>93.7+8.1</f>
        <v>101.8</v>
      </c>
      <c r="M565" s="138">
        <f>91.5</f>
        <v>91.5</v>
      </c>
      <c r="N565" s="138">
        <f t="shared" si="68"/>
        <v>10.299999999999997</v>
      </c>
      <c r="O565" s="141">
        <f>(G565-(G565*I568))-L565</f>
        <v>26.200000000000003</v>
      </c>
      <c r="P565" s="159"/>
      <c r="Q565" s="142"/>
    </row>
    <row r="566" spans="1:17" ht="36.75" customHeight="1" thickTop="1" thickBot="1" x14ac:dyDescent="0.35">
      <c r="A566" s="139" t="str">
        <f t="shared" si="67"/>
        <v>صباغة</v>
      </c>
      <c r="B566" s="165"/>
      <c r="C566" s="167"/>
      <c r="D566" s="169"/>
      <c r="E566" s="167"/>
      <c r="F566" s="137" t="s">
        <v>20</v>
      </c>
      <c r="G566" s="139">
        <v>60</v>
      </c>
      <c r="H566" s="137" t="s">
        <v>243</v>
      </c>
      <c r="I566" s="137" t="s">
        <v>191</v>
      </c>
      <c r="J566" s="155"/>
      <c r="K566" s="157"/>
      <c r="L566" s="138">
        <f>93+91.5</f>
        <v>184.5</v>
      </c>
      <c r="M566" s="138">
        <f>93.7</f>
        <v>93.7</v>
      </c>
      <c r="N566" s="138">
        <f t="shared" si="68"/>
        <v>90.8</v>
      </c>
      <c r="O566" s="141">
        <f>(G566-(G566*I568))-L566</f>
        <v>-124.5</v>
      </c>
      <c r="P566" s="159"/>
      <c r="Q566" s="142"/>
    </row>
    <row r="567" spans="1:17" ht="36.75" customHeight="1" thickTop="1" thickBot="1" x14ac:dyDescent="0.35">
      <c r="A567" s="139" t="str">
        <f t="shared" si="67"/>
        <v>صباغة</v>
      </c>
      <c r="B567" s="165"/>
      <c r="C567" s="167"/>
      <c r="D567" s="169"/>
      <c r="E567" s="167"/>
      <c r="F567" s="137" t="s">
        <v>241</v>
      </c>
      <c r="G567" s="139">
        <v>60</v>
      </c>
      <c r="H567" s="137" t="s">
        <v>243</v>
      </c>
      <c r="I567" s="137" t="s">
        <v>191</v>
      </c>
      <c r="J567" s="155"/>
      <c r="K567" s="157"/>
      <c r="L567" s="138">
        <f>95.2</f>
        <v>95.2</v>
      </c>
      <c r="M567" s="138">
        <f>95.2</f>
        <v>95.2</v>
      </c>
      <c r="N567" s="138">
        <f t="shared" si="68"/>
        <v>0</v>
      </c>
      <c r="O567" s="141">
        <f>(G567-(G567*I568))-L567</f>
        <v>-35.200000000000003</v>
      </c>
      <c r="P567" s="159"/>
      <c r="Q567" s="142"/>
    </row>
    <row r="568" spans="1:17" ht="36.75" customHeight="1" thickTop="1" thickBot="1" x14ac:dyDescent="0.35">
      <c r="A568" s="139" t="str">
        <f>A567</f>
        <v>صباغة</v>
      </c>
      <c r="B568" s="161" t="s">
        <v>29</v>
      </c>
      <c r="C568" s="162"/>
      <c r="D568" s="162"/>
      <c r="E568" s="162"/>
      <c r="F568" s="163"/>
      <c r="G568" s="137">
        <v>414</v>
      </c>
      <c r="H568" s="2" t="s">
        <v>30</v>
      </c>
      <c r="I568" s="3">
        <v>0</v>
      </c>
      <c r="J568" s="140"/>
      <c r="K568" s="138"/>
      <c r="L568" s="138">
        <f>SUM(L562:L567)</f>
        <v>468.3</v>
      </c>
      <c r="M568" s="138"/>
      <c r="N568" s="138">
        <f>L568-M568</f>
        <v>468.3</v>
      </c>
      <c r="O568" s="141">
        <f>(G568-(G568*I568))-L568</f>
        <v>-54.300000000000011</v>
      </c>
      <c r="P568" s="160"/>
      <c r="Q568" s="142"/>
    </row>
    <row r="569" spans="1:17" ht="36.75" customHeight="1" thickTop="1" thickBot="1" x14ac:dyDescent="0.35">
      <c r="A569" s="90" t="s">
        <v>32</v>
      </c>
      <c r="B569" s="88" t="s">
        <v>0</v>
      </c>
      <c r="C569" s="88" t="s">
        <v>1</v>
      </c>
      <c r="D569" s="89" t="s">
        <v>2</v>
      </c>
      <c r="E569" s="88" t="s">
        <v>3</v>
      </c>
      <c r="F569" s="88" t="s">
        <v>11</v>
      </c>
      <c r="G569" s="88" t="s">
        <v>4</v>
      </c>
      <c r="H569" s="88" t="s">
        <v>15</v>
      </c>
      <c r="I569" s="88" t="s">
        <v>16</v>
      </c>
      <c r="J569" s="88" t="s">
        <v>56</v>
      </c>
      <c r="K569" s="88" t="s">
        <v>12</v>
      </c>
      <c r="L569" s="88" t="s">
        <v>13</v>
      </c>
      <c r="M569" s="88" t="s">
        <v>101</v>
      </c>
      <c r="N569" s="88" t="s">
        <v>100</v>
      </c>
      <c r="O569" s="88" t="s">
        <v>102</v>
      </c>
      <c r="P569" s="88" t="s">
        <v>5</v>
      </c>
      <c r="Q569" s="142"/>
    </row>
    <row r="570" spans="1:17" ht="36.75" customHeight="1" thickTop="1" thickBot="1" x14ac:dyDescent="0.35">
      <c r="A570" s="139" t="str">
        <f t="shared" ref="A570:A575" si="69">A569</f>
        <v>صباغة</v>
      </c>
      <c r="B570" s="164" t="s">
        <v>236</v>
      </c>
      <c r="C570" s="166" t="s">
        <v>233</v>
      </c>
      <c r="D570" s="168" t="s">
        <v>7</v>
      </c>
      <c r="E570" s="166" t="s">
        <v>188</v>
      </c>
      <c r="F570" s="137" t="s">
        <v>69</v>
      </c>
      <c r="G570" s="139">
        <v>60</v>
      </c>
      <c r="H570" s="137" t="s">
        <v>244</v>
      </c>
      <c r="I570" s="137" t="s">
        <v>191</v>
      </c>
      <c r="J570" s="154"/>
      <c r="K570" s="156">
        <f>428+13.9+30.4</f>
        <v>472.29999999999995</v>
      </c>
      <c r="L570" s="138"/>
      <c r="M570" s="138"/>
      <c r="N570" s="138">
        <f>L570-M570</f>
        <v>0</v>
      </c>
      <c r="O570" s="141">
        <f>(G570-(G570*I576))-L570</f>
        <v>60</v>
      </c>
      <c r="P570" s="158" t="s">
        <v>57</v>
      </c>
      <c r="Q570" s="142"/>
    </row>
    <row r="571" spans="1:17" ht="36.75" customHeight="1" thickTop="1" thickBot="1" x14ac:dyDescent="0.35">
      <c r="A571" s="139" t="str">
        <f>A570</f>
        <v>صباغة</v>
      </c>
      <c r="B571" s="165"/>
      <c r="C571" s="167"/>
      <c r="D571" s="169"/>
      <c r="E571" s="167"/>
      <c r="F571" s="137" t="s">
        <v>118</v>
      </c>
      <c r="G571" s="139">
        <v>60</v>
      </c>
      <c r="H571" s="137" t="s">
        <v>244</v>
      </c>
      <c r="I571" s="137" t="s">
        <v>191</v>
      </c>
      <c r="J571" s="155"/>
      <c r="K571" s="157"/>
      <c r="L571" s="138">
        <f>93.6</f>
        <v>93.6</v>
      </c>
      <c r="M571" s="138">
        <f>93.6</f>
        <v>93.6</v>
      </c>
      <c r="N571" s="138">
        <f t="shared" ref="N571:N575" si="70">L571-M571</f>
        <v>0</v>
      </c>
      <c r="O571" s="141">
        <f>(G571-(G571*I576))-L571</f>
        <v>-33.599999999999994</v>
      </c>
      <c r="P571" s="159"/>
      <c r="Q571" s="142"/>
    </row>
    <row r="572" spans="1:17" ht="36.75" customHeight="1" thickTop="1" thickBot="1" x14ac:dyDescent="0.35">
      <c r="A572" s="139" t="str">
        <f t="shared" si="69"/>
        <v>صباغة</v>
      </c>
      <c r="B572" s="165"/>
      <c r="C572" s="167"/>
      <c r="D572" s="169"/>
      <c r="E572" s="167"/>
      <c r="F572" s="137" t="s">
        <v>21</v>
      </c>
      <c r="G572" s="139">
        <v>60</v>
      </c>
      <c r="H572" s="137" t="s">
        <v>242</v>
      </c>
      <c r="I572" s="137" t="s">
        <v>191</v>
      </c>
      <c r="J572" s="155"/>
      <c r="K572" s="157"/>
      <c r="L572" s="138"/>
      <c r="M572" s="138"/>
      <c r="N572" s="138">
        <f t="shared" si="70"/>
        <v>0</v>
      </c>
      <c r="O572" s="141">
        <f>(G572-(G572*I576))-L572</f>
        <v>60</v>
      </c>
      <c r="P572" s="159"/>
      <c r="Q572" s="142"/>
    </row>
    <row r="573" spans="1:17" ht="36.75" customHeight="1" thickTop="1" thickBot="1" x14ac:dyDescent="0.35">
      <c r="A573" s="139" t="str">
        <f t="shared" si="69"/>
        <v>صباغة</v>
      </c>
      <c r="B573" s="165"/>
      <c r="C573" s="167"/>
      <c r="D573" s="169"/>
      <c r="E573" s="167"/>
      <c r="F573" s="137" t="s">
        <v>17</v>
      </c>
      <c r="G573" s="139">
        <v>128</v>
      </c>
      <c r="H573" s="137" t="s">
        <v>242</v>
      </c>
      <c r="I573" s="137" t="s">
        <v>191</v>
      </c>
      <c r="J573" s="155"/>
      <c r="K573" s="157"/>
      <c r="L573" s="138">
        <f>106.8</f>
        <v>106.8</v>
      </c>
      <c r="M573" s="138">
        <f>106.8</f>
        <v>106.8</v>
      </c>
      <c r="N573" s="138">
        <f t="shared" si="70"/>
        <v>0</v>
      </c>
      <c r="O573" s="141">
        <f>(G573-(G573*I576))-L573</f>
        <v>21.200000000000003</v>
      </c>
      <c r="P573" s="159"/>
      <c r="Q573" s="142"/>
    </row>
    <row r="574" spans="1:17" ht="36.75" customHeight="1" thickTop="1" thickBot="1" x14ac:dyDescent="0.35">
      <c r="A574" s="139" t="str">
        <f t="shared" si="69"/>
        <v>صباغة</v>
      </c>
      <c r="B574" s="165"/>
      <c r="C574" s="167"/>
      <c r="D574" s="169"/>
      <c r="E574" s="167"/>
      <c r="F574" s="137" t="s">
        <v>20</v>
      </c>
      <c r="G574" s="139">
        <v>60</v>
      </c>
      <c r="H574" s="137" t="s">
        <v>242</v>
      </c>
      <c r="I574" s="137" t="s">
        <v>191</v>
      </c>
      <c r="J574" s="155"/>
      <c r="K574" s="157"/>
      <c r="L574" s="138">
        <f>95.2</f>
        <v>95.2</v>
      </c>
      <c r="M574" s="138">
        <f>95.2</f>
        <v>95.2</v>
      </c>
      <c r="N574" s="138">
        <f t="shared" si="70"/>
        <v>0</v>
      </c>
      <c r="O574" s="141">
        <f>(G574-(G574*I576))-L574</f>
        <v>-35.200000000000003</v>
      </c>
      <c r="P574" s="159"/>
      <c r="Q574" s="142"/>
    </row>
    <row r="575" spans="1:17" ht="36.75" customHeight="1" thickTop="1" thickBot="1" x14ac:dyDescent="0.35">
      <c r="A575" s="139" t="str">
        <f t="shared" si="69"/>
        <v>صباغة</v>
      </c>
      <c r="B575" s="165"/>
      <c r="C575" s="167"/>
      <c r="D575" s="169"/>
      <c r="E575" s="167"/>
      <c r="F575" s="137" t="s">
        <v>241</v>
      </c>
      <c r="G575" s="139">
        <v>60</v>
      </c>
      <c r="H575" s="137" t="s">
        <v>244</v>
      </c>
      <c r="I575" s="137" t="s">
        <v>191</v>
      </c>
      <c r="J575" s="155"/>
      <c r="K575" s="157"/>
      <c r="L575" s="138">
        <f>95.9</f>
        <v>95.9</v>
      </c>
      <c r="M575" s="138">
        <f>95.2</f>
        <v>95.2</v>
      </c>
      <c r="N575" s="138">
        <f t="shared" si="70"/>
        <v>0.70000000000000284</v>
      </c>
      <c r="O575" s="141">
        <f>(G575-(G575*I576))-L575</f>
        <v>-35.900000000000006</v>
      </c>
      <c r="P575" s="159"/>
      <c r="Q575" s="142"/>
    </row>
    <row r="576" spans="1:17" ht="36.75" customHeight="1" thickTop="1" thickBot="1" x14ac:dyDescent="0.35">
      <c r="A576" s="139" t="str">
        <f>A575</f>
        <v>صباغة</v>
      </c>
      <c r="B576" s="161" t="s">
        <v>29</v>
      </c>
      <c r="C576" s="162"/>
      <c r="D576" s="162"/>
      <c r="E576" s="162"/>
      <c r="F576" s="163"/>
      <c r="G576" s="137">
        <v>428</v>
      </c>
      <c r="H576" s="2" t="s">
        <v>30</v>
      </c>
      <c r="I576" s="3">
        <v>0</v>
      </c>
      <c r="J576" s="140"/>
      <c r="K576" s="138"/>
      <c r="L576" s="138">
        <f>SUM(L570:L575)</f>
        <v>391.5</v>
      </c>
      <c r="M576" s="138"/>
      <c r="N576" s="138">
        <f>L576-M576</f>
        <v>391.5</v>
      </c>
      <c r="O576" s="141">
        <f>(G576-(G576*I576))-L576</f>
        <v>36.5</v>
      </c>
      <c r="P576" s="160"/>
      <c r="Q576" s="142"/>
    </row>
    <row r="577" spans="1:17" ht="36.75" customHeight="1" thickTop="1" thickBot="1" x14ac:dyDescent="0.35">
      <c r="A577" s="90" t="s">
        <v>32</v>
      </c>
      <c r="B577" s="88" t="s">
        <v>0</v>
      </c>
      <c r="C577" s="88" t="s">
        <v>1</v>
      </c>
      <c r="D577" s="89" t="s">
        <v>2</v>
      </c>
      <c r="E577" s="88" t="s">
        <v>3</v>
      </c>
      <c r="F577" s="88" t="s">
        <v>11</v>
      </c>
      <c r="G577" s="88" t="s">
        <v>4</v>
      </c>
      <c r="H577" s="88" t="s">
        <v>15</v>
      </c>
      <c r="I577" s="88" t="s">
        <v>16</v>
      </c>
      <c r="J577" s="88" t="s">
        <v>56</v>
      </c>
      <c r="K577" s="88" t="s">
        <v>12</v>
      </c>
      <c r="L577" s="88" t="s">
        <v>13</v>
      </c>
      <c r="M577" s="88" t="s">
        <v>101</v>
      </c>
      <c r="N577" s="88" t="s">
        <v>100</v>
      </c>
      <c r="O577" s="88" t="s">
        <v>102</v>
      </c>
      <c r="P577" s="88" t="s">
        <v>5</v>
      </c>
      <c r="Q577" s="142"/>
    </row>
    <row r="578" spans="1:17" ht="36.75" customHeight="1" thickTop="1" thickBot="1" x14ac:dyDescent="0.35">
      <c r="A578" s="146" t="str">
        <f t="shared" ref="A578:A583" si="71">A577</f>
        <v>صباغة</v>
      </c>
      <c r="B578" s="164" t="s">
        <v>201</v>
      </c>
      <c r="C578" s="166" t="s">
        <v>202</v>
      </c>
      <c r="D578" s="168" t="s">
        <v>7</v>
      </c>
      <c r="E578" s="166" t="s">
        <v>245</v>
      </c>
      <c r="F578" s="143"/>
      <c r="G578" s="146"/>
      <c r="H578" s="143" t="s">
        <v>43</v>
      </c>
      <c r="I578" s="143" t="s">
        <v>191</v>
      </c>
      <c r="J578" s="154"/>
      <c r="K578" s="156">
        <f>1011+50.4</f>
        <v>1061.4000000000001</v>
      </c>
      <c r="L578" s="145"/>
      <c r="M578" s="145"/>
      <c r="N578" s="145">
        <f>L578-M578</f>
        <v>0</v>
      </c>
      <c r="O578" s="147">
        <f>(G578-(G578*I586))-L578</f>
        <v>0</v>
      </c>
      <c r="P578" s="179" t="s">
        <v>57</v>
      </c>
      <c r="Q578" s="142"/>
    </row>
    <row r="579" spans="1:17" ht="36.75" customHeight="1" thickTop="1" thickBot="1" x14ac:dyDescent="0.35">
      <c r="A579" s="146" t="str">
        <f>A578</f>
        <v>صباغة</v>
      </c>
      <c r="B579" s="165"/>
      <c r="C579" s="167"/>
      <c r="D579" s="169"/>
      <c r="E579" s="167"/>
      <c r="F579" s="143"/>
      <c r="G579" s="146"/>
      <c r="H579" s="143" t="s">
        <v>94</v>
      </c>
      <c r="I579" s="143" t="s">
        <v>191</v>
      </c>
      <c r="J579" s="155"/>
      <c r="K579" s="157"/>
      <c r="L579" s="145"/>
      <c r="M579" s="145"/>
      <c r="N579" s="145">
        <f t="shared" ref="N579:N585" si="72">L579-M579</f>
        <v>0</v>
      </c>
      <c r="O579" s="147">
        <f>(G579-(G579*I586))-L579</f>
        <v>0</v>
      </c>
      <c r="P579" s="179"/>
      <c r="Q579" s="142"/>
    </row>
    <row r="580" spans="1:17" ht="36.75" customHeight="1" thickTop="1" thickBot="1" x14ac:dyDescent="0.35">
      <c r="A580" s="146" t="str">
        <f t="shared" si="71"/>
        <v>صباغة</v>
      </c>
      <c r="B580" s="165"/>
      <c r="C580" s="167"/>
      <c r="D580" s="169"/>
      <c r="E580" s="167"/>
      <c r="F580" s="143"/>
      <c r="G580" s="146"/>
      <c r="H580" s="143" t="s">
        <v>94</v>
      </c>
      <c r="I580" s="143" t="s">
        <v>191</v>
      </c>
      <c r="J580" s="155"/>
      <c r="K580" s="157"/>
      <c r="L580" s="145"/>
      <c r="M580" s="145"/>
      <c r="N580" s="145">
        <f t="shared" si="72"/>
        <v>0</v>
      </c>
      <c r="O580" s="147">
        <f>(G580-(G580*I586))-L580</f>
        <v>0</v>
      </c>
      <c r="P580" s="179"/>
      <c r="Q580" s="142"/>
    </row>
    <row r="581" spans="1:17" ht="36.75" customHeight="1" thickTop="1" thickBot="1" x14ac:dyDescent="0.35">
      <c r="A581" s="146" t="str">
        <f t="shared" si="71"/>
        <v>صباغة</v>
      </c>
      <c r="B581" s="165"/>
      <c r="C581" s="167"/>
      <c r="D581" s="169"/>
      <c r="E581" s="167"/>
      <c r="F581" s="143"/>
      <c r="G581" s="146"/>
      <c r="H581" s="143" t="s">
        <v>94</v>
      </c>
      <c r="I581" s="143" t="s">
        <v>191</v>
      </c>
      <c r="J581" s="155"/>
      <c r="K581" s="157"/>
      <c r="L581" s="145"/>
      <c r="M581" s="145"/>
      <c r="N581" s="145">
        <f t="shared" si="72"/>
        <v>0</v>
      </c>
      <c r="O581" s="147">
        <f>(G581-(G581*I586))-L581</f>
        <v>0</v>
      </c>
      <c r="P581" s="179"/>
      <c r="Q581" s="142"/>
    </row>
    <row r="582" spans="1:17" ht="36.75" customHeight="1" thickTop="1" thickBot="1" x14ac:dyDescent="0.35">
      <c r="A582" s="146" t="str">
        <f t="shared" si="71"/>
        <v>صباغة</v>
      </c>
      <c r="B582" s="165"/>
      <c r="C582" s="167"/>
      <c r="D582" s="169"/>
      <c r="E582" s="167"/>
      <c r="F582" s="143"/>
      <c r="G582" s="146"/>
      <c r="H582" s="143" t="s">
        <v>94</v>
      </c>
      <c r="I582" s="143" t="s">
        <v>191</v>
      </c>
      <c r="J582" s="155"/>
      <c r="K582" s="157"/>
      <c r="L582" s="145"/>
      <c r="M582" s="145"/>
      <c r="N582" s="145">
        <f t="shared" si="72"/>
        <v>0</v>
      </c>
      <c r="O582" s="147">
        <f>(G582-(G582*I586))-L582</f>
        <v>0</v>
      </c>
      <c r="P582" s="179"/>
      <c r="Q582" s="142"/>
    </row>
    <row r="583" spans="1:17" ht="36.75" customHeight="1" thickTop="1" thickBot="1" x14ac:dyDescent="0.35">
      <c r="A583" s="146" t="str">
        <f t="shared" si="71"/>
        <v>صباغة</v>
      </c>
      <c r="B583" s="165"/>
      <c r="C583" s="167"/>
      <c r="D583" s="169"/>
      <c r="E583" s="167"/>
      <c r="F583" s="143"/>
      <c r="G583" s="146"/>
      <c r="H583" s="143" t="s">
        <v>94</v>
      </c>
      <c r="I583" s="143" t="s">
        <v>191</v>
      </c>
      <c r="J583" s="155"/>
      <c r="K583" s="157"/>
      <c r="L583" s="145"/>
      <c r="M583" s="145"/>
      <c r="N583" s="145">
        <f t="shared" si="72"/>
        <v>0</v>
      </c>
      <c r="O583" s="147">
        <f>(G583-(G583*I586))-L583</f>
        <v>0</v>
      </c>
      <c r="P583" s="179"/>
      <c r="Q583" s="142"/>
    </row>
    <row r="584" spans="1:17" ht="36.75" customHeight="1" thickTop="1" thickBot="1" x14ac:dyDescent="0.35">
      <c r="A584" s="146" t="str">
        <f>A583</f>
        <v>صباغة</v>
      </c>
      <c r="B584" s="165"/>
      <c r="C584" s="167"/>
      <c r="D584" s="169"/>
      <c r="E584" s="167"/>
      <c r="F584" s="143"/>
      <c r="G584" s="146"/>
      <c r="H584" s="143" t="s">
        <v>94</v>
      </c>
      <c r="I584" s="143" t="s">
        <v>191</v>
      </c>
      <c r="J584" s="155"/>
      <c r="K584" s="157"/>
      <c r="L584" s="145"/>
      <c r="M584" s="145"/>
      <c r="N584" s="145">
        <f t="shared" si="72"/>
        <v>0</v>
      </c>
      <c r="O584" s="147">
        <f>(G584-(G584*I586))-L584</f>
        <v>0</v>
      </c>
      <c r="P584" s="179"/>
      <c r="Q584" s="142"/>
    </row>
    <row r="585" spans="1:17" ht="36.75" customHeight="1" thickTop="1" thickBot="1" x14ac:dyDescent="0.35">
      <c r="A585" s="146" t="str">
        <f>A584</f>
        <v>صباغة</v>
      </c>
      <c r="B585" s="170"/>
      <c r="C585" s="171"/>
      <c r="D585" s="172"/>
      <c r="E585" s="171"/>
      <c r="F585" s="143"/>
      <c r="G585" s="146"/>
      <c r="H585" s="143" t="s">
        <v>94</v>
      </c>
      <c r="I585" s="143" t="s">
        <v>191</v>
      </c>
      <c r="J585" s="173"/>
      <c r="K585" s="174"/>
      <c r="L585" s="145"/>
      <c r="M585" s="145"/>
      <c r="N585" s="145">
        <f t="shared" si="72"/>
        <v>0</v>
      </c>
      <c r="O585" s="147">
        <f>(G585-(G585*I586))-L585</f>
        <v>0</v>
      </c>
      <c r="P585" s="179"/>
      <c r="Q585" s="142"/>
    </row>
    <row r="586" spans="1:17" ht="36.75" customHeight="1" thickTop="1" thickBot="1" x14ac:dyDescent="0.35">
      <c r="A586" s="146" t="str">
        <f>A583</f>
        <v>صباغة</v>
      </c>
      <c r="B586" s="179" t="s">
        <v>29</v>
      </c>
      <c r="C586" s="179"/>
      <c r="D586" s="179"/>
      <c r="E586" s="179"/>
      <c r="F586" s="179"/>
      <c r="G586" s="143">
        <v>1000</v>
      </c>
      <c r="H586" s="2" t="s">
        <v>30</v>
      </c>
      <c r="I586" s="3">
        <v>0</v>
      </c>
      <c r="J586" s="144"/>
      <c r="K586" s="145"/>
      <c r="L586" s="145">
        <f>SUM(L578:L583)</f>
        <v>0</v>
      </c>
      <c r="M586" s="145"/>
      <c r="N586" s="145">
        <f>L586-M586</f>
        <v>0</v>
      </c>
      <c r="O586" s="147">
        <f>(G586-(G586*I586))-L586</f>
        <v>1000</v>
      </c>
      <c r="P586" s="179"/>
      <c r="Q586" s="142"/>
    </row>
    <row r="587" spans="1:17" ht="36.75" customHeight="1" thickTop="1" thickBot="1" x14ac:dyDescent="0.35">
      <c r="A587" s="90" t="s">
        <v>32</v>
      </c>
      <c r="B587" s="88" t="s">
        <v>0</v>
      </c>
      <c r="C587" s="88" t="s">
        <v>1</v>
      </c>
      <c r="D587" s="89" t="s">
        <v>2</v>
      </c>
      <c r="E587" s="88" t="s">
        <v>3</v>
      </c>
      <c r="F587" s="88" t="s">
        <v>11</v>
      </c>
      <c r="G587" s="88" t="s">
        <v>4</v>
      </c>
      <c r="H587" s="88" t="s">
        <v>15</v>
      </c>
      <c r="I587" s="88" t="s">
        <v>16</v>
      </c>
      <c r="J587" s="88" t="s">
        <v>56</v>
      </c>
      <c r="K587" s="88" t="s">
        <v>12</v>
      </c>
      <c r="L587" s="88" t="s">
        <v>13</v>
      </c>
      <c r="M587" s="88" t="s">
        <v>101</v>
      </c>
      <c r="N587" s="88" t="s">
        <v>100</v>
      </c>
      <c r="O587" s="88" t="s">
        <v>102</v>
      </c>
      <c r="P587" s="88" t="s">
        <v>5</v>
      </c>
    </row>
    <row r="588" spans="1:17" ht="36.75" customHeight="1" thickTop="1" thickBot="1" x14ac:dyDescent="0.35">
      <c r="A588" s="153" t="str">
        <f t="shared" ref="A588:A594" si="73">A587</f>
        <v>صباغة</v>
      </c>
      <c r="B588" s="164" t="s">
        <v>236</v>
      </c>
      <c r="C588" s="166">
        <v>2</v>
      </c>
      <c r="D588" s="168" t="s">
        <v>7</v>
      </c>
      <c r="E588" s="166" t="s">
        <v>246</v>
      </c>
      <c r="F588" s="148" t="s">
        <v>69</v>
      </c>
      <c r="G588" s="150"/>
      <c r="H588" s="148" t="s">
        <v>244</v>
      </c>
      <c r="I588" s="148" t="s">
        <v>191</v>
      </c>
      <c r="J588" s="154"/>
      <c r="K588" s="156">
        <f>1011</f>
        <v>1011</v>
      </c>
      <c r="L588" s="149"/>
      <c r="M588" s="149"/>
      <c r="N588" s="149">
        <f>L588-M588</f>
        <v>0</v>
      </c>
      <c r="O588" s="152">
        <f>(G588-(G588*I594))-L588</f>
        <v>0</v>
      </c>
      <c r="P588" s="158" t="s">
        <v>57</v>
      </c>
    </row>
    <row r="589" spans="1:17" ht="36.75" customHeight="1" thickTop="1" thickBot="1" x14ac:dyDescent="0.35">
      <c r="A589" s="153" t="str">
        <f>A588</f>
        <v>صباغة</v>
      </c>
      <c r="B589" s="165"/>
      <c r="C589" s="167"/>
      <c r="D589" s="169"/>
      <c r="E589" s="167"/>
      <c r="F589" s="148" t="s">
        <v>118</v>
      </c>
      <c r="G589" s="150"/>
      <c r="H589" s="148" t="s">
        <v>244</v>
      </c>
      <c r="I589" s="148" t="s">
        <v>191</v>
      </c>
      <c r="J589" s="155"/>
      <c r="K589" s="157"/>
      <c r="L589" s="149"/>
      <c r="M589" s="149"/>
      <c r="N589" s="149">
        <f t="shared" ref="N589:N593" si="74">L589-M589</f>
        <v>0</v>
      </c>
      <c r="O589" s="152">
        <f>(G589-(G589*I594))-L589</f>
        <v>0</v>
      </c>
      <c r="P589" s="159"/>
    </row>
    <row r="590" spans="1:17" ht="36.75" customHeight="1" thickTop="1" thickBot="1" x14ac:dyDescent="0.35">
      <c r="A590" s="153" t="str">
        <f t="shared" si="73"/>
        <v>صباغة</v>
      </c>
      <c r="B590" s="165"/>
      <c r="C590" s="167"/>
      <c r="D590" s="169"/>
      <c r="E590" s="167"/>
      <c r="F590" s="148" t="s">
        <v>21</v>
      </c>
      <c r="G590" s="150"/>
      <c r="H590" s="148" t="s">
        <v>242</v>
      </c>
      <c r="I590" s="148" t="s">
        <v>191</v>
      </c>
      <c r="J590" s="155"/>
      <c r="K590" s="157"/>
      <c r="L590" s="149"/>
      <c r="M590" s="149"/>
      <c r="N590" s="149">
        <f t="shared" si="74"/>
        <v>0</v>
      </c>
      <c r="O590" s="152">
        <f>(G590-(G590*I594))-L590</f>
        <v>0</v>
      </c>
      <c r="P590" s="159"/>
    </row>
    <row r="591" spans="1:17" ht="36.75" customHeight="1" thickTop="1" thickBot="1" x14ac:dyDescent="0.35">
      <c r="A591" s="153" t="str">
        <f t="shared" si="73"/>
        <v>صباغة</v>
      </c>
      <c r="B591" s="165"/>
      <c r="C591" s="167"/>
      <c r="D591" s="169"/>
      <c r="E591" s="167"/>
      <c r="F591" s="148" t="s">
        <v>17</v>
      </c>
      <c r="G591" s="150"/>
      <c r="H591" s="148" t="s">
        <v>242</v>
      </c>
      <c r="I591" s="148" t="s">
        <v>191</v>
      </c>
      <c r="J591" s="155"/>
      <c r="K591" s="157"/>
      <c r="L591" s="149"/>
      <c r="M591" s="149"/>
      <c r="N591" s="149">
        <f t="shared" si="74"/>
        <v>0</v>
      </c>
      <c r="O591" s="152">
        <f>(G591-(G591*I594))-L591</f>
        <v>0</v>
      </c>
      <c r="P591" s="159"/>
    </row>
    <row r="592" spans="1:17" ht="36.75" customHeight="1" thickTop="1" thickBot="1" x14ac:dyDescent="0.35">
      <c r="A592" s="153" t="str">
        <f t="shared" si="73"/>
        <v>صباغة</v>
      </c>
      <c r="B592" s="165"/>
      <c r="C592" s="167"/>
      <c r="D592" s="169"/>
      <c r="E592" s="167"/>
      <c r="F592" s="148" t="s">
        <v>20</v>
      </c>
      <c r="G592" s="150"/>
      <c r="H592" s="148" t="s">
        <v>242</v>
      </c>
      <c r="I592" s="148" t="s">
        <v>191</v>
      </c>
      <c r="J592" s="155"/>
      <c r="K592" s="157"/>
      <c r="L592" s="149"/>
      <c r="M592" s="149"/>
      <c r="N592" s="149">
        <f t="shared" si="74"/>
        <v>0</v>
      </c>
      <c r="O592" s="152">
        <f>(G592-(G592*I594))-L592</f>
        <v>0</v>
      </c>
      <c r="P592" s="159"/>
    </row>
    <row r="593" spans="1:16" ht="36.75" customHeight="1" thickTop="1" thickBot="1" x14ac:dyDescent="0.35">
      <c r="A593" s="153" t="str">
        <f t="shared" si="73"/>
        <v>صباغة</v>
      </c>
      <c r="B593" s="165"/>
      <c r="C593" s="167"/>
      <c r="D593" s="169"/>
      <c r="E593" s="167"/>
      <c r="F593" s="148" t="s">
        <v>241</v>
      </c>
      <c r="G593" s="150"/>
      <c r="H593" s="148" t="s">
        <v>244</v>
      </c>
      <c r="I593" s="148" t="s">
        <v>191</v>
      </c>
      <c r="J593" s="155"/>
      <c r="K593" s="157"/>
      <c r="L593" s="149"/>
      <c r="M593" s="149"/>
      <c r="N593" s="149">
        <f t="shared" si="74"/>
        <v>0</v>
      </c>
      <c r="O593" s="152">
        <f>(G593-(G593*I594))-L593</f>
        <v>0</v>
      </c>
      <c r="P593" s="159"/>
    </row>
    <row r="594" spans="1:16" ht="36.75" customHeight="1" thickTop="1" thickBot="1" x14ac:dyDescent="0.35">
      <c r="A594" s="153" t="str">
        <f t="shared" si="73"/>
        <v>صباغة</v>
      </c>
      <c r="B594" s="161" t="s">
        <v>29</v>
      </c>
      <c r="C594" s="162"/>
      <c r="D594" s="162"/>
      <c r="E594" s="162"/>
      <c r="F594" s="163"/>
      <c r="G594" s="148">
        <v>1000</v>
      </c>
      <c r="H594" s="2" t="s">
        <v>30</v>
      </c>
      <c r="I594" s="3">
        <v>0</v>
      </c>
      <c r="J594" s="151"/>
      <c r="K594" s="149"/>
      <c r="L594" s="149"/>
      <c r="M594" s="149"/>
      <c r="N594" s="149">
        <f>L594-M594</f>
        <v>0</v>
      </c>
      <c r="O594" s="152">
        <f>(G594-(G594*I594))-L594</f>
        <v>1000</v>
      </c>
      <c r="P594" s="160"/>
    </row>
    <row r="595" spans="1:16" ht="36.75" customHeight="1" thickTop="1" x14ac:dyDescent="0.3"/>
  </sheetData>
  <autoFilter ref="A1:O586" xr:uid="{00000000-0009-0000-0000-000001000000}"/>
  <mergeCells count="419">
    <mergeCell ref="P578:P586"/>
    <mergeCell ref="B586:F586"/>
    <mergeCell ref="B547:B551"/>
    <mergeCell ref="C547:C551"/>
    <mergeCell ref="D547:D551"/>
    <mergeCell ref="E547:E551"/>
    <mergeCell ref="J547:J551"/>
    <mergeCell ref="K547:K551"/>
    <mergeCell ref="P547:P552"/>
    <mergeCell ref="B552:F552"/>
    <mergeCell ref="B554:B559"/>
    <mergeCell ref="C554:C559"/>
    <mergeCell ref="D554:D559"/>
    <mergeCell ref="E554:E559"/>
    <mergeCell ref="J554:J559"/>
    <mergeCell ref="K554:K559"/>
    <mergeCell ref="P554:P560"/>
    <mergeCell ref="B560:F560"/>
    <mergeCell ref="P562:P568"/>
    <mergeCell ref="B568:F568"/>
    <mergeCell ref="B570:B575"/>
    <mergeCell ref="C570:C575"/>
    <mergeCell ref="D570:D575"/>
    <mergeCell ref="E570:E575"/>
    <mergeCell ref="C503:C510"/>
    <mergeCell ref="D503:D510"/>
    <mergeCell ref="J503:J510"/>
    <mergeCell ref="K503:K510"/>
    <mergeCell ref="P500:P501"/>
    <mergeCell ref="B501:F501"/>
    <mergeCell ref="K436:K443"/>
    <mergeCell ref="J436:J443"/>
    <mergeCell ref="P436:P444"/>
    <mergeCell ref="B444:F444"/>
    <mergeCell ref="C436:C443"/>
    <mergeCell ref="B436:B443"/>
    <mergeCell ref="E436:E443"/>
    <mergeCell ref="D436:D443"/>
    <mergeCell ref="B446:B454"/>
    <mergeCell ref="C446:C454"/>
    <mergeCell ref="D446:D454"/>
    <mergeCell ref="J446:J453"/>
    <mergeCell ref="K446:K453"/>
    <mergeCell ref="P446:P455"/>
    <mergeCell ref="B455:C455"/>
    <mergeCell ref="D455:F455"/>
    <mergeCell ref="B465:B470"/>
    <mergeCell ref="C465:C470"/>
    <mergeCell ref="D465:D470"/>
    <mergeCell ref="J465:J470"/>
    <mergeCell ref="D481:D486"/>
    <mergeCell ref="E481:E486"/>
    <mergeCell ref="B415:B433"/>
    <mergeCell ref="C415:C433"/>
    <mergeCell ref="D415:D433"/>
    <mergeCell ref="P415:P434"/>
    <mergeCell ref="B434:C434"/>
    <mergeCell ref="D434:F434"/>
    <mergeCell ref="J415:J432"/>
    <mergeCell ref="K415:K432"/>
    <mergeCell ref="E457:E462"/>
    <mergeCell ref="J457:J462"/>
    <mergeCell ref="K457:K462"/>
    <mergeCell ref="P457:P463"/>
    <mergeCell ref="B463:F463"/>
    <mergeCell ref="B498:F498"/>
    <mergeCell ref="P497:P498"/>
    <mergeCell ref="K465:K470"/>
    <mergeCell ref="P465:P471"/>
    <mergeCell ref="E465:E470"/>
    <mergeCell ref="B471:F471"/>
    <mergeCell ref="B473:B478"/>
    <mergeCell ref="C473:C478"/>
    <mergeCell ref="D473:D478"/>
    <mergeCell ref="E473:E478"/>
    <mergeCell ref="J473:J478"/>
    <mergeCell ref="K473:K478"/>
    <mergeCell ref="P473:P479"/>
    <mergeCell ref="B479:F479"/>
    <mergeCell ref="B481:B486"/>
    <mergeCell ref="C481:C486"/>
    <mergeCell ref="J481:J486"/>
    <mergeCell ref="K481:K486"/>
    <mergeCell ref="P481:P487"/>
    <mergeCell ref="B487:F487"/>
    <mergeCell ref="B489:B494"/>
    <mergeCell ref="C489:C494"/>
    <mergeCell ref="D489:D494"/>
    <mergeCell ref="E489:E494"/>
    <mergeCell ref="B397:B409"/>
    <mergeCell ref="C397:C409"/>
    <mergeCell ref="D397:D409"/>
    <mergeCell ref="J397:J408"/>
    <mergeCell ref="K397:K408"/>
    <mergeCell ref="P397:P410"/>
    <mergeCell ref="B410:C410"/>
    <mergeCell ref="D410:F410"/>
    <mergeCell ref="J412:J413"/>
    <mergeCell ref="K412:K413"/>
    <mergeCell ref="P412:P413"/>
    <mergeCell ref="B413:F413"/>
    <mergeCell ref="B367:B379"/>
    <mergeCell ref="C367:C379"/>
    <mergeCell ref="D367:D379"/>
    <mergeCell ref="J367:J378"/>
    <mergeCell ref="K367:K378"/>
    <mergeCell ref="P367:P380"/>
    <mergeCell ref="B380:C380"/>
    <mergeCell ref="D380:F380"/>
    <mergeCell ref="B382:B394"/>
    <mergeCell ref="C382:C394"/>
    <mergeCell ref="D382:D394"/>
    <mergeCell ref="J382:J393"/>
    <mergeCell ref="K382:K393"/>
    <mergeCell ref="P382:P395"/>
    <mergeCell ref="B395:C395"/>
    <mergeCell ref="D395:F395"/>
    <mergeCell ref="B337:B349"/>
    <mergeCell ref="C337:C349"/>
    <mergeCell ref="D337:D349"/>
    <mergeCell ref="J337:J348"/>
    <mergeCell ref="K337:K348"/>
    <mergeCell ref="P337:P350"/>
    <mergeCell ref="B350:C350"/>
    <mergeCell ref="D350:F350"/>
    <mergeCell ref="B352:B364"/>
    <mergeCell ref="C352:C364"/>
    <mergeCell ref="D352:D364"/>
    <mergeCell ref="J352:J363"/>
    <mergeCell ref="K352:K363"/>
    <mergeCell ref="P352:P365"/>
    <mergeCell ref="B365:C365"/>
    <mergeCell ref="D365:F365"/>
    <mergeCell ref="B307:B319"/>
    <mergeCell ref="C307:C319"/>
    <mergeCell ref="D307:D319"/>
    <mergeCell ref="J307:J318"/>
    <mergeCell ref="K307:K318"/>
    <mergeCell ref="P307:P320"/>
    <mergeCell ref="B320:C320"/>
    <mergeCell ref="D320:F320"/>
    <mergeCell ref="B322:B334"/>
    <mergeCell ref="C322:C334"/>
    <mergeCell ref="D322:D334"/>
    <mergeCell ref="J322:J333"/>
    <mergeCell ref="K322:K333"/>
    <mergeCell ref="P322:P335"/>
    <mergeCell ref="B335:C335"/>
    <mergeCell ref="D335:F335"/>
    <mergeCell ref="P226:P237"/>
    <mergeCell ref="B237:F237"/>
    <mergeCell ref="P239:P249"/>
    <mergeCell ref="B249:F249"/>
    <mergeCell ref="B290:B304"/>
    <mergeCell ref="C290:C304"/>
    <mergeCell ref="D290:D304"/>
    <mergeCell ref="J290:J303"/>
    <mergeCell ref="K290:K303"/>
    <mergeCell ref="P290:P305"/>
    <mergeCell ref="B305:C305"/>
    <mergeCell ref="D305:F305"/>
    <mergeCell ref="B273:B287"/>
    <mergeCell ref="C273:C287"/>
    <mergeCell ref="D273:D287"/>
    <mergeCell ref="J273:J286"/>
    <mergeCell ref="K273:K286"/>
    <mergeCell ref="P273:P288"/>
    <mergeCell ref="B288:C288"/>
    <mergeCell ref="D288:F288"/>
    <mergeCell ref="B263:B269"/>
    <mergeCell ref="C263:C269"/>
    <mergeCell ref="J226:J236"/>
    <mergeCell ref="K226:K236"/>
    <mergeCell ref="P32:P34"/>
    <mergeCell ref="J32:J34"/>
    <mergeCell ref="K32:K34"/>
    <mergeCell ref="J36:J38"/>
    <mergeCell ref="K36:K38"/>
    <mergeCell ref="J193:J222"/>
    <mergeCell ref="D193:D223"/>
    <mergeCell ref="C193:C223"/>
    <mergeCell ref="A191:P191"/>
    <mergeCell ref="B183:B189"/>
    <mergeCell ref="C183:C189"/>
    <mergeCell ref="D183:D189"/>
    <mergeCell ref="P183:P190"/>
    <mergeCell ref="B190:C190"/>
    <mergeCell ref="D190:F190"/>
    <mergeCell ref="J183:J188"/>
    <mergeCell ref="K183:K188"/>
    <mergeCell ref="P193:P224"/>
    <mergeCell ref="B224:F224"/>
    <mergeCell ref="C174:C180"/>
    <mergeCell ref="D174:D180"/>
    <mergeCell ref="D47:D59"/>
    <mergeCell ref="P47:P60"/>
    <mergeCell ref="P62:P66"/>
    <mergeCell ref="B30:F30"/>
    <mergeCell ref="C32:C33"/>
    <mergeCell ref="D32:D33"/>
    <mergeCell ref="B32:B33"/>
    <mergeCell ref="B38:F38"/>
    <mergeCell ref="B34:F34"/>
    <mergeCell ref="K26:K27"/>
    <mergeCell ref="K20:K21"/>
    <mergeCell ref="B14:B17"/>
    <mergeCell ref="C14:C17"/>
    <mergeCell ref="D14:D17"/>
    <mergeCell ref="E14:E17"/>
    <mergeCell ref="J26:J27"/>
    <mergeCell ref="B21:F21"/>
    <mergeCell ref="J20:J21"/>
    <mergeCell ref="B18:F18"/>
    <mergeCell ref="K62:K66"/>
    <mergeCell ref="D40:D44"/>
    <mergeCell ref="D62:D65"/>
    <mergeCell ref="J40:J45"/>
    <mergeCell ref="B45:F45"/>
    <mergeCell ref="B60:F60"/>
    <mergeCell ref="J62:J66"/>
    <mergeCell ref="K40:K45"/>
    <mergeCell ref="J47:J58"/>
    <mergeCell ref="C47:C59"/>
    <mergeCell ref="P2:P12"/>
    <mergeCell ref="K14:K18"/>
    <mergeCell ref="J14:J18"/>
    <mergeCell ref="P14:P18"/>
    <mergeCell ref="J2:J12"/>
    <mergeCell ref="B12:F12"/>
    <mergeCell ref="K68:K72"/>
    <mergeCell ref="P68:P72"/>
    <mergeCell ref="B72:F72"/>
    <mergeCell ref="J68:J72"/>
    <mergeCell ref="J23:J24"/>
    <mergeCell ref="K23:K24"/>
    <mergeCell ref="P23:P24"/>
    <mergeCell ref="B24:F24"/>
    <mergeCell ref="C2:C11"/>
    <mergeCell ref="D2:D11"/>
    <mergeCell ref="B2:B11"/>
    <mergeCell ref="E2:E11"/>
    <mergeCell ref="P20:P21"/>
    <mergeCell ref="P26:P27"/>
    <mergeCell ref="K2:K12"/>
    <mergeCell ref="B27:F27"/>
    <mergeCell ref="B66:F66"/>
    <mergeCell ref="P40:P45"/>
    <mergeCell ref="P74:P83"/>
    <mergeCell ref="I74:I75"/>
    <mergeCell ref="I76:I77"/>
    <mergeCell ref="I78:I79"/>
    <mergeCell ref="I80:I81"/>
    <mergeCell ref="O82:O83"/>
    <mergeCell ref="P92:P98"/>
    <mergeCell ref="P85:P90"/>
    <mergeCell ref="B90:F90"/>
    <mergeCell ref="B98:F98"/>
    <mergeCell ref="D92:D97"/>
    <mergeCell ref="K92:K98"/>
    <mergeCell ref="K85:K90"/>
    <mergeCell ref="B78:B79"/>
    <mergeCell ref="B76:B77"/>
    <mergeCell ref="C76:C77"/>
    <mergeCell ref="H76:H77"/>
    <mergeCell ref="K74:K81"/>
    <mergeCell ref="J74:J81"/>
    <mergeCell ref="F76:F77"/>
    <mergeCell ref="D85:D89"/>
    <mergeCell ref="C85:C89"/>
    <mergeCell ref="B85:B89"/>
    <mergeCell ref="J92:J98"/>
    <mergeCell ref="B117:F117"/>
    <mergeCell ref="A78:A79"/>
    <mergeCell ref="A80:A81"/>
    <mergeCell ref="A74:A75"/>
    <mergeCell ref="A76:A77"/>
    <mergeCell ref="F74:F75"/>
    <mergeCell ref="B82:E83"/>
    <mergeCell ref="H82:H83"/>
    <mergeCell ref="I82:I83"/>
    <mergeCell ref="A82:A83"/>
    <mergeCell ref="D74:D81"/>
    <mergeCell ref="C78:C79"/>
    <mergeCell ref="H78:H79"/>
    <mergeCell ref="F78:F79"/>
    <mergeCell ref="B80:B81"/>
    <mergeCell ref="C80:C81"/>
    <mergeCell ref="H80:H81"/>
    <mergeCell ref="F80:F81"/>
    <mergeCell ref="B74:B75"/>
    <mergeCell ref="C74:C75"/>
    <mergeCell ref="H74:H75"/>
    <mergeCell ref="D68:D71"/>
    <mergeCell ref="B239:B248"/>
    <mergeCell ref="C239:C248"/>
    <mergeCell ref="B251:B260"/>
    <mergeCell ref="C251:C260"/>
    <mergeCell ref="P251:P261"/>
    <mergeCell ref="B261:F261"/>
    <mergeCell ref="P100:P117"/>
    <mergeCell ref="K100:K115"/>
    <mergeCell ref="K119:K132"/>
    <mergeCell ref="P143:P144"/>
    <mergeCell ref="B144:F144"/>
    <mergeCell ref="D100:D116"/>
    <mergeCell ref="C92:C97"/>
    <mergeCell ref="B92:B97"/>
    <mergeCell ref="B157:F157"/>
    <mergeCell ref="J85:J90"/>
    <mergeCell ref="B134:F134"/>
    <mergeCell ref="B100:B116"/>
    <mergeCell ref="D119:D133"/>
    <mergeCell ref="J100:J115"/>
    <mergeCell ref="J119:J132"/>
    <mergeCell ref="J146:J155"/>
    <mergeCell ref="C100:C116"/>
    <mergeCell ref="P136:P141"/>
    <mergeCell ref="B141:F141"/>
    <mergeCell ref="C136:C140"/>
    <mergeCell ref="D140:E140"/>
    <mergeCell ref="P119:P134"/>
    <mergeCell ref="B119:B133"/>
    <mergeCell ref="C119:C133"/>
    <mergeCell ref="P146:P157"/>
    <mergeCell ref="C146:C156"/>
    <mergeCell ref="D146:D156"/>
    <mergeCell ref="B146:B156"/>
    <mergeCell ref="B193:B223"/>
    <mergeCell ref="K193:K222"/>
    <mergeCell ref="K146:K155"/>
    <mergeCell ref="K174:K178"/>
    <mergeCell ref="P174:P181"/>
    <mergeCell ref="B181:C181"/>
    <mergeCell ref="D181:F181"/>
    <mergeCell ref="J159:J170"/>
    <mergeCell ref="K159:K170"/>
    <mergeCell ref="B159:B171"/>
    <mergeCell ref="C159:C171"/>
    <mergeCell ref="D159:D171"/>
    <mergeCell ref="P159:P172"/>
    <mergeCell ref="B172:C172"/>
    <mergeCell ref="D172:F172"/>
    <mergeCell ref="B174:B180"/>
    <mergeCell ref="J174:J179"/>
    <mergeCell ref="P263:P271"/>
    <mergeCell ref="B271:F271"/>
    <mergeCell ref="B226:B236"/>
    <mergeCell ref="C226:C236"/>
    <mergeCell ref="D226:D236"/>
    <mergeCell ref="P503:P511"/>
    <mergeCell ref="B511:F511"/>
    <mergeCell ref="B513:B522"/>
    <mergeCell ref="C513:C522"/>
    <mergeCell ref="D513:D522"/>
    <mergeCell ref="J513:J522"/>
    <mergeCell ref="K513:K522"/>
    <mergeCell ref="P513:P523"/>
    <mergeCell ref="B523:C523"/>
    <mergeCell ref="D523:F523"/>
    <mergeCell ref="E503:E510"/>
    <mergeCell ref="B503:B510"/>
    <mergeCell ref="J489:J494"/>
    <mergeCell ref="K489:K494"/>
    <mergeCell ref="P489:P495"/>
    <mergeCell ref="B495:F495"/>
    <mergeCell ref="B457:B462"/>
    <mergeCell ref="C457:C462"/>
    <mergeCell ref="D457:D462"/>
    <mergeCell ref="B525:B528"/>
    <mergeCell ref="C525:C528"/>
    <mergeCell ref="D525:D528"/>
    <mergeCell ref="E525:E528"/>
    <mergeCell ref="J525:J528"/>
    <mergeCell ref="K525:K528"/>
    <mergeCell ref="P525:P529"/>
    <mergeCell ref="B529:F529"/>
    <mergeCell ref="B531:B533"/>
    <mergeCell ref="C531:C533"/>
    <mergeCell ref="D531:D533"/>
    <mergeCell ref="J531:J533"/>
    <mergeCell ref="P531:P534"/>
    <mergeCell ref="B534:F534"/>
    <mergeCell ref="K532:K533"/>
    <mergeCell ref="B541:B544"/>
    <mergeCell ref="C541:C544"/>
    <mergeCell ref="D541:D544"/>
    <mergeCell ref="P541:P545"/>
    <mergeCell ref="B545:F545"/>
    <mergeCell ref="B536:B538"/>
    <mergeCell ref="C536:C538"/>
    <mergeCell ref="D536:D538"/>
    <mergeCell ref="J536:J538"/>
    <mergeCell ref="P536:P539"/>
    <mergeCell ref="B539:F539"/>
    <mergeCell ref="J541:J545"/>
    <mergeCell ref="J570:J575"/>
    <mergeCell ref="K570:K575"/>
    <mergeCell ref="P570:P576"/>
    <mergeCell ref="B576:F576"/>
    <mergeCell ref="B562:B567"/>
    <mergeCell ref="B588:B593"/>
    <mergeCell ref="C588:C593"/>
    <mergeCell ref="D588:D593"/>
    <mergeCell ref="E588:E593"/>
    <mergeCell ref="J588:J593"/>
    <mergeCell ref="K588:K593"/>
    <mergeCell ref="P588:P594"/>
    <mergeCell ref="B594:F594"/>
    <mergeCell ref="C562:C567"/>
    <mergeCell ref="D562:D567"/>
    <mergeCell ref="E562:E567"/>
    <mergeCell ref="J562:J567"/>
    <mergeCell ref="K562:K567"/>
    <mergeCell ref="B578:B585"/>
    <mergeCell ref="C578:C585"/>
    <mergeCell ref="D578:D585"/>
    <mergeCell ref="E578:E585"/>
    <mergeCell ref="J578:J585"/>
    <mergeCell ref="K578:K585"/>
  </mergeCells>
  <phoneticPr fontId="5" type="noConversion"/>
  <pageMargins left="0.25" right="0.25" top="0.75" bottom="0.75" header="0.3" footer="0.3"/>
  <pageSetup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2026-04-15T12:14:21Z</dcterms:modified>
</cp:coreProperties>
</file>